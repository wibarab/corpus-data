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oeawacat.sharepoint.com/sites/ACDH-CH_p_WIBARAB_BedoinTypeArabicNomadicSedentaryPeopleMidd/Shared Documents/Fieldwork data + analysis/"/>
    </mc:Choice>
  </mc:AlternateContent>
  <xr:revisionPtr revIDLastSave="14366" documentId="101_{C6DEE346-4041-42DA-A045-73B3629F4363}" xr6:coauthVersionLast="47" xr6:coauthVersionMax="47" xr10:uidLastSave="{CD212E63-8A68-4641-96D8-AC543D5F3681}"/>
  <bookViews>
    <workbookView xWindow="-110" yWindow="-110" windowWidth="19420" windowHeight="11500" xr2:uid="{00000000-000D-0000-FFFF-FFFF00000000}"/>
  </bookViews>
  <sheets>
    <sheet name="Recordings" sheetId="1" r:id="rId1"/>
    <sheet name="Team" sheetId="11" r:id="rId2"/>
    <sheet name="Status" sheetId="13" r:id="rId3"/>
    <sheet name="Speakers" sheetId="2" r:id="rId4"/>
    <sheet name="Campaigns" sheetId="12" r:id="rId5"/>
    <sheet name="Speakers_in_Recordings" sheetId="6" r:id="rId6"/>
    <sheet name="Subjects_in_Recordings" sheetId="7" r:id="rId7"/>
    <sheet name="Subjects" sheetId="4" r:id="rId8"/>
    <sheet name="Places" sheetId="8" r:id="rId9"/>
    <sheet name="Age Groups" sheetId="14" r:id="rId10"/>
  </sheets>
  <definedNames>
    <definedName name="_GoBack">Recordings!#REF!</definedName>
    <definedName name="ExternalData_1" localSheetId="8" hidden="1">Places!$A$1:$D$720</definedName>
    <definedName name="ExternalData_2" localSheetId="4" hidden="1">'Campaigns'!$A$1:$G$17</definedName>
    <definedName name="ExternalData_2" localSheetId="1" hidden="1">Team!$A$1:$G$20</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 l="1" a="1"/>
  <c r="D30" i="1"/>
  <c r="D45" i="1" a="1"/>
  <c r="D45" i="1"/>
  <c r="E367" i="1" a="1"/>
  <c r="E367" i="1"/>
  <c r="D367" i="1" a="1"/>
  <c r="D367" i="1"/>
  <c r="E370" i="1" a="1"/>
  <c r="E370" i="1"/>
  <c r="D370" i="1" a="1"/>
  <c r="D370" i="1"/>
  <c r="E378" i="1" a="1"/>
  <c r="E378" i="1"/>
  <c r="D378" i="1" a="1"/>
  <c r="D378" i="1"/>
  <c r="E381" i="1" a="1"/>
  <c r="E381" i="1"/>
  <c r="D381" i="1" a="1"/>
  <c r="D381" i="1"/>
  <c r="E394" i="1" a="1"/>
  <c r="E394" i="1"/>
  <c r="D394" i="1" a="1"/>
  <c r="D394" i="1"/>
  <c r="E71" i="1" a="1"/>
  <c r="E71" i="1"/>
  <c r="E393" i="1" a="1"/>
  <c r="E393" i="1"/>
  <c r="E392" i="1" a="1"/>
  <c r="E392" i="1"/>
  <c r="E391" i="1" a="1"/>
  <c r="E391" i="1"/>
  <c r="E390" i="1" a="1"/>
  <c r="E390" i="1"/>
  <c r="E389" i="1" a="1"/>
  <c r="E389" i="1"/>
  <c r="E388" i="1" a="1"/>
  <c r="E388" i="1"/>
  <c r="E387" i="1" a="1"/>
  <c r="E387" i="1"/>
  <c r="E386" i="1" a="1"/>
  <c r="E386" i="1"/>
  <c r="E385" i="1" a="1"/>
  <c r="E385" i="1"/>
  <c r="E384" i="1" a="1"/>
  <c r="E384" i="1"/>
  <c r="E383" i="1" a="1"/>
  <c r="E383" i="1"/>
  <c r="E382" i="1" a="1"/>
  <c r="E382" i="1"/>
  <c r="E380" i="1" a="1"/>
  <c r="E380" i="1"/>
  <c r="E379" i="1" a="1"/>
  <c r="E379" i="1"/>
  <c r="D126" i="1" a="1"/>
  <c r="D126" i="1"/>
  <c r="E72" i="1" a="1"/>
  <c r="E72" i="1"/>
  <c r="D127" i="1" a="1"/>
  <c r="D127" i="1"/>
  <c r="D128" i="1" a="1"/>
  <c r="D128" i="1"/>
  <c r="J38" i="2" a="1"/>
  <c r="J38" i="2"/>
  <c r="J63" i="2" a="1"/>
  <c r="J63" i="2"/>
  <c r="D78" i="1" a="1"/>
  <c r="D78" i="1"/>
  <c r="E78" i="1" a="1"/>
  <c r="E78" i="1"/>
  <c r="D79" i="1" a="1"/>
  <c r="D79" i="1"/>
  <c r="E79" i="1" a="1"/>
  <c r="E79" i="1"/>
  <c r="AA79" i="1"/>
  <c r="J35" i="2" a="1"/>
  <c r="J35" i="2"/>
  <c r="J24" i="2" a="1"/>
  <c r="J24" i="2"/>
  <c r="J23" i="2" a="1"/>
  <c r="J23" i="2"/>
  <c r="J25" i="2" a="1"/>
  <c r="J25" i="2"/>
  <c r="J26" i="2" a="1"/>
  <c r="J26" i="2"/>
  <c r="J27" i="2" a="1"/>
  <c r="J27" i="2"/>
  <c r="J28" i="2" a="1"/>
  <c r="J28" i="2"/>
  <c r="J29" i="2" a="1"/>
  <c r="J29" i="2"/>
  <c r="J30" i="2" a="1"/>
  <c r="J30" i="2"/>
  <c r="J31" i="2" a="1"/>
  <c r="J31" i="2"/>
  <c r="J32" i="2" a="1"/>
  <c r="J32" i="2"/>
  <c r="J33" i="2" a="1"/>
  <c r="J33" i="2"/>
  <c r="J34" i="2" a="1"/>
  <c r="J34" i="2"/>
  <c r="J36" i="2" a="1"/>
  <c r="J36" i="2"/>
  <c r="J37" i="2" a="1"/>
  <c r="J37" i="2"/>
  <c r="J39" i="2" a="1"/>
  <c r="J39" i="2"/>
  <c r="J40" i="2" a="1"/>
  <c r="J40" i="2"/>
  <c r="J41" i="2" a="1"/>
  <c r="J41" i="2"/>
  <c r="D496" i="1" a="1"/>
  <c r="D496" i="1"/>
  <c r="E496" i="1" a="1"/>
  <c r="E496" i="1"/>
  <c r="AA496" i="1"/>
  <c r="D483" i="1" a="1"/>
  <c r="D483" i="1"/>
  <c r="E483" i="1" a="1"/>
  <c r="E483" i="1"/>
  <c r="AA483" i="1"/>
  <c r="D484" i="1" a="1"/>
  <c r="D484" i="1"/>
  <c r="E484" i="1" a="1"/>
  <c r="E484" i="1"/>
  <c r="AA484" i="1"/>
  <c r="D485" i="1" a="1"/>
  <c r="D485" i="1"/>
  <c r="E485" i="1" a="1"/>
  <c r="E485" i="1"/>
  <c r="AA485" i="1"/>
  <c r="D486" i="1" a="1"/>
  <c r="D486" i="1"/>
  <c r="E486" i="1" a="1"/>
  <c r="E486" i="1"/>
  <c r="AA486" i="1"/>
  <c r="D487" i="1" a="1"/>
  <c r="D487" i="1"/>
  <c r="E487" i="1" a="1"/>
  <c r="E487" i="1"/>
  <c r="AA487" i="1"/>
  <c r="D488" i="1" a="1"/>
  <c r="D488" i="1"/>
  <c r="E488" i="1" a="1"/>
  <c r="E488" i="1"/>
  <c r="AA488" i="1"/>
  <c r="D489" i="1" a="1"/>
  <c r="D489" i="1"/>
  <c r="E489" i="1" a="1"/>
  <c r="E489" i="1"/>
  <c r="AA489" i="1"/>
  <c r="D490" i="1" a="1"/>
  <c r="D490" i="1"/>
  <c r="E490" i="1" a="1"/>
  <c r="E490" i="1"/>
  <c r="AA490" i="1"/>
  <c r="D491" i="1" a="1"/>
  <c r="D491" i="1"/>
  <c r="E491" i="1" a="1"/>
  <c r="E491" i="1"/>
  <c r="AA491" i="1"/>
  <c r="D492" i="1" a="1"/>
  <c r="D492" i="1"/>
  <c r="E492" i="1" a="1"/>
  <c r="E492" i="1"/>
  <c r="AA492" i="1"/>
  <c r="D494" i="1" a="1"/>
  <c r="D494" i="1"/>
  <c r="E494" i="1" a="1"/>
  <c r="E494" i="1"/>
  <c r="AA494" i="1"/>
  <c r="D493" i="1" a="1"/>
  <c r="D493" i="1"/>
  <c r="D495" i="1" a="1"/>
  <c r="D495" i="1"/>
  <c r="D497" i="1" a="1"/>
  <c r="D497" i="1"/>
  <c r="D498" i="1" a="1"/>
  <c r="D498" i="1"/>
  <c r="D499" i="1" a="1"/>
  <c r="D499" i="1"/>
  <c r="D500" i="1" a="1"/>
  <c r="D500" i="1"/>
  <c r="D501" i="1" a="1"/>
  <c r="D501" i="1"/>
  <c r="D502" i="1" a="1"/>
  <c r="D502" i="1"/>
  <c r="D503" i="1" a="1"/>
  <c r="D503" i="1"/>
  <c r="D504" i="1" a="1"/>
  <c r="D504" i="1"/>
  <c r="D505" i="1" a="1"/>
  <c r="D505" i="1"/>
  <c r="D506" i="1" a="1"/>
  <c r="D506" i="1"/>
  <c r="D507" i="1" a="1"/>
  <c r="D507" i="1"/>
  <c r="D508" i="1" a="1"/>
  <c r="D508" i="1"/>
  <c r="D509" i="1" a="1"/>
  <c r="D509" i="1"/>
  <c r="D510" i="1" a="1"/>
  <c r="D510" i="1"/>
  <c r="D511" i="1" a="1"/>
  <c r="D511" i="1"/>
  <c r="D512" i="1" a="1"/>
  <c r="D512" i="1"/>
  <c r="D513" i="1" a="1"/>
  <c r="D513" i="1"/>
  <c r="D477" i="1" a="1"/>
  <c r="D477" i="1" s="1"/>
  <c r="D478" i="1" a="1"/>
  <c r="D478" i="1" s="1"/>
  <c r="D479" i="1" a="1"/>
  <c r="D479" i="1" s="1"/>
  <c r="D480" i="1" a="1"/>
  <c r="D480" i="1" s="1"/>
  <c r="D481" i="1" a="1"/>
  <c r="D481" i="1" s="1"/>
  <c r="D482" i="1" a="1"/>
  <c r="D482" i="1" s="1"/>
  <c r="D476" i="1" a="1"/>
  <c r="D476" i="1" s="1"/>
  <c r="D475" i="1" a="1"/>
  <c r="D475" i="1" s="1"/>
  <c r="D472" i="1" a="1"/>
  <c r="D472" i="1" s="1"/>
  <c r="D471" i="1" a="1"/>
  <c r="D471" i="1" s="1"/>
  <c r="D448" i="1" a="1"/>
  <c r="D448" i="1" s="1"/>
  <c r="D443" i="1" a="1"/>
  <c r="D443" i="1" s="1"/>
  <c r="D474" i="1" a="1"/>
  <c r="D474" i="1" s="1"/>
  <c r="D473" i="1" a="1"/>
  <c r="D473"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c r="E17" i="1" a="1"/>
  <c r="E17" i="1" s="1"/>
  <c r="E18" i="1" a="1"/>
  <c r="E18" i="1" s="1"/>
  <c r="E19" i="1" a="1"/>
  <c r="E19" i="1" s="1"/>
  <c r="E20" i="1" a="1"/>
  <c r="E20" i="1" s="1"/>
  <c r="E21" i="1" a="1"/>
  <c r="E21" i="1" s="1"/>
  <c r="E22" i="1" a="1"/>
  <c r="E22" i="1" s="1"/>
  <c r="E23" i="1" a="1"/>
  <c r="E23" i="1" s="1"/>
  <c r="E24" i="1" a="1"/>
  <c r="E24" i="1"/>
  <c r="E25" i="1" a="1"/>
  <c r="E25" i="1" s="1"/>
  <c r="E26" i="1" a="1"/>
  <c r="E26" i="1" s="1"/>
  <c r="E27" i="1" a="1"/>
  <c r="E27" i="1" s="1"/>
  <c r="E28" i="1" a="1"/>
  <c r="E28" i="1" s="1"/>
  <c r="E29" i="1" a="1"/>
  <c r="E29" i="1" s="1"/>
  <c r="E30" i="1" a="1"/>
  <c r="E30" i="1" s="1"/>
  <c r="E31" i="1" a="1"/>
  <c r="E31" i="1" s="1"/>
  <c r="E32" i="1" a="1"/>
  <c r="E32" i="1"/>
  <c r="E33" i="1" a="1"/>
  <c r="E33" i="1" s="1"/>
  <c r="E34" i="1" a="1"/>
  <c r="E34" i="1" s="1"/>
  <c r="E35" i="1" a="1"/>
  <c r="E35" i="1" s="1"/>
  <c r="E36" i="1" a="1"/>
  <c r="E36" i="1" s="1"/>
  <c r="E37" i="1" a="1"/>
  <c r="E37" i="1" s="1"/>
  <c r="E38" i="1" a="1"/>
  <c r="E38" i="1" s="1"/>
  <c r="E39" i="1" a="1"/>
  <c r="E39" i="1" s="1"/>
  <c r="E40" i="1" a="1"/>
  <c r="E40" i="1"/>
  <c r="E41" i="1" a="1"/>
  <c r="E41" i="1" s="1"/>
  <c r="E42" i="1" a="1"/>
  <c r="E42" i="1" s="1"/>
  <c r="E43" i="1" a="1"/>
  <c r="E43" i="1" s="1"/>
  <c r="E44" i="1" a="1"/>
  <c r="E44" i="1" s="1"/>
  <c r="E45" i="1" a="1"/>
  <c r="E45" i="1" s="1"/>
  <c r="E46" i="1" a="1"/>
  <c r="E46" i="1" s="1"/>
  <c r="E47" i="1" a="1"/>
  <c r="E47" i="1" s="1"/>
  <c r="E48" i="1" a="1"/>
  <c r="E48" i="1"/>
  <c r="E49" i="1" a="1"/>
  <c r="E49" i="1" s="1"/>
  <c r="E50" i="1" a="1"/>
  <c r="E50" i="1" s="1"/>
  <c r="E51" i="1" a="1"/>
  <c r="E51" i="1" s="1"/>
  <c r="E52" i="1" a="1"/>
  <c r="E52" i="1" s="1"/>
  <c r="E53" i="1" a="1"/>
  <c r="E53" i="1" s="1"/>
  <c r="E54" i="1" a="1"/>
  <c r="E54" i="1" s="1"/>
  <c r="E55" i="1" a="1"/>
  <c r="E55" i="1" s="1"/>
  <c r="E56" i="1" a="1"/>
  <c r="E56" i="1"/>
  <c r="E57" i="1" a="1"/>
  <c r="E57" i="1" s="1"/>
  <c r="E58" i="1" a="1"/>
  <c r="E58" i="1" s="1"/>
  <c r="E59" i="1" a="1"/>
  <c r="E59" i="1" s="1"/>
  <c r="E60" i="1" a="1"/>
  <c r="E60" i="1" s="1"/>
  <c r="E61" i="1" a="1"/>
  <c r="E61" i="1" s="1"/>
  <c r="E62" i="1" a="1"/>
  <c r="E62" i="1" s="1"/>
  <c r="E63" i="1" a="1"/>
  <c r="E63" i="1" s="1"/>
  <c r="E64" i="1" a="1"/>
  <c r="E64" i="1"/>
  <c r="E65" i="1" a="1"/>
  <c r="E65" i="1" s="1"/>
  <c r="E66" i="1" a="1"/>
  <c r="E66" i="1" s="1"/>
  <c r="E67" i="1" a="1"/>
  <c r="E67" i="1" s="1"/>
  <c r="E68" i="1" a="1"/>
  <c r="E68" i="1" s="1"/>
  <c r="E69" i="1" a="1"/>
  <c r="E69" i="1" s="1"/>
  <c r="E70" i="1" a="1"/>
  <c r="E70" i="1" s="1"/>
  <c r="E73" i="1" a="1"/>
  <c r="E73" i="1" s="1"/>
  <c r="E74" i="1" a="1"/>
  <c r="E74" i="1" s="1"/>
  <c r="E75" i="1" a="1"/>
  <c r="E75" i="1" s="1"/>
  <c r="E76" i="1" a="1"/>
  <c r="E76" i="1" s="1"/>
  <c r="E77" i="1" a="1"/>
  <c r="E77" i="1" s="1"/>
  <c r="E80" i="1" a="1"/>
  <c r="E80" i="1" s="1"/>
  <c r="E81" i="1" a="1"/>
  <c r="E81" i="1" s="1"/>
  <c r="E82" i="1" a="1"/>
  <c r="E82" i="1"/>
  <c r="E83" i="1" a="1"/>
  <c r="E83" i="1" s="1"/>
  <c r="E84" i="1" a="1"/>
  <c r="E84" i="1" s="1"/>
  <c r="E85" i="1" a="1"/>
  <c r="E85" i="1" s="1"/>
  <c r="E86" i="1" a="1"/>
  <c r="E86" i="1" s="1"/>
  <c r="E87" i="1" a="1"/>
  <c r="E87" i="1" s="1"/>
  <c r="E88" i="1" a="1"/>
  <c r="E88" i="1" s="1"/>
  <c r="E89" i="1" a="1"/>
  <c r="E89" i="1" s="1"/>
  <c r="E90" i="1" a="1"/>
  <c r="E90" i="1"/>
  <c r="E91" i="1" a="1"/>
  <c r="E91" i="1" s="1"/>
  <c r="E92" i="1" a="1"/>
  <c r="E92" i="1" s="1"/>
  <c r="E93" i="1" a="1"/>
  <c r="E93" i="1" s="1"/>
  <c r="E94" i="1" a="1"/>
  <c r="E94" i="1" s="1"/>
  <c r="E95" i="1" a="1"/>
  <c r="E95" i="1" s="1"/>
  <c r="E96" i="1" a="1"/>
  <c r="E96" i="1" s="1"/>
  <c r="E97" i="1" a="1"/>
  <c r="E97" i="1" s="1"/>
  <c r="E98" i="1" a="1"/>
  <c r="E98" i="1"/>
  <c r="E99" i="1" a="1"/>
  <c r="E99" i="1" s="1"/>
  <c r="E100" i="1" a="1"/>
  <c r="E100" i="1" s="1"/>
  <c r="E101" i="1" a="1"/>
  <c r="E101" i="1" s="1"/>
  <c r="E102" i="1" a="1"/>
  <c r="E102" i="1" s="1"/>
  <c r="E103" i="1" a="1"/>
  <c r="E103" i="1" s="1"/>
  <c r="E104" i="1" a="1"/>
  <c r="E104" i="1" s="1"/>
  <c r="E105" i="1" a="1"/>
  <c r="E105" i="1" s="1"/>
  <c r="E106" i="1" a="1"/>
  <c r="E106" i="1"/>
  <c r="E107" i="1" a="1"/>
  <c r="E107" i="1" s="1"/>
  <c r="E108" i="1" a="1"/>
  <c r="E108" i="1" s="1"/>
  <c r="E109" i="1" a="1"/>
  <c r="E109" i="1" s="1"/>
  <c r="E110" i="1" a="1"/>
  <c r="E110" i="1" s="1"/>
  <c r="E111" i="1" a="1"/>
  <c r="E111" i="1" s="1"/>
  <c r="E112" i="1" a="1"/>
  <c r="E112" i="1" s="1"/>
  <c r="E113" i="1" a="1"/>
  <c r="E113" i="1" s="1"/>
  <c r="E114" i="1" a="1"/>
  <c r="E114" i="1"/>
  <c r="E115" i="1" a="1"/>
  <c r="E115" i="1" s="1"/>
  <c r="E116" i="1" a="1"/>
  <c r="E116" i="1" s="1"/>
  <c r="E117" i="1" a="1"/>
  <c r="E117" i="1" s="1"/>
  <c r="E118" i="1" a="1"/>
  <c r="E118" i="1" s="1"/>
  <c r="E119" i="1" a="1"/>
  <c r="E119" i="1" s="1"/>
  <c r="E120" i="1" a="1"/>
  <c r="E120" i="1" s="1"/>
  <c r="E121" i="1" a="1"/>
  <c r="E121" i="1" s="1"/>
  <c r="E122" i="1" a="1"/>
  <c r="E122" i="1"/>
  <c r="E123" i="1" a="1"/>
  <c r="E123" i="1" s="1"/>
  <c r="E124" i="1" a="1"/>
  <c r="E124" i="1" s="1"/>
  <c r="E125" i="1" a="1"/>
  <c r="E125" i="1" s="1"/>
  <c r="E126" i="1" a="1"/>
  <c r="E126" i="1" s="1"/>
  <c r="E127" i="1" a="1"/>
  <c r="E127" i="1" s="1"/>
  <c r="E128" i="1" a="1"/>
  <c r="E128" i="1"/>
  <c r="E129" i="1" a="1"/>
  <c r="E129" i="1" s="1"/>
  <c r="E130" i="1" a="1"/>
  <c r="E130" i="1" s="1"/>
  <c r="E131" i="1" a="1"/>
  <c r="E131" i="1" s="1"/>
  <c r="E132" i="1" a="1"/>
  <c r="E132" i="1" s="1"/>
  <c r="E133" i="1" a="1"/>
  <c r="E133" i="1" s="1"/>
  <c r="E134" i="1" a="1"/>
  <c r="E134" i="1" s="1"/>
  <c r="E135" i="1" a="1"/>
  <c r="E135" i="1" s="1"/>
  <c r="E136" i="1" a="1"/>
  <c r="E136" i="1"/>
  <c r="E137" i="1" a="1"/>
  <c r="E137" i="1" s="1"/>
  <c r="E138" i="1" a="1"/>
  <c r="E138" i="1" s="1"/>
  <c r="E139" i="1" a="1"/>
  <c r="E139" i="1" s="1"/>
  <c r="E140" i="1" a="1"/>
  <c r="E140" i="1" s="1"/>
  <c r="E141" i="1" a="1"/>
  <c r="E141" i="1" s="1"/>
  <c r="E142" i="1" a="1"/>
  <c r="E142" i="1" s="1"/>
  <c r="E143" i="1" a="1"/>
  <c r="E143" i="1" s="1"/>
  <c r="E144" i="1" a="1"/>
  <c r="E144" i="1"/>
  <c r="E145" i="1" a="1"/>
  <c r="E145" i="1" s="1"/>
  <c r="E146" i="1" a="1"/>
  <c r="E146" i="1" s="1"/>
  <c r="E147" i="1" a="1"/>
  <c r="E147" i="1" s="1"/>
  <c r="E148" i="1" a="1"/>
  <c r="E148" i="1" s="1"/>
  <c r="E149" i="1" a="1"/>
  <c r="E149" i="1" s="1"/>
  <c r="E150" i="1" a="1"/>
  <c r="E150" i="1" s="1"/>
  <c r="E151" i="1" a="1"/>
  <c r="E151" i="1" s="1"/>
  <c r="E152" i="1" a="1"/>
  <c r="E152" i="1"/>
  <c r="E153" i="1" a="1"/>
  <c r="E153" i="1" s="1"/>
  <c r="E154" i="1" a="1"/>
  <c r="E154" i="1" s="1"/>
  <c r="E155" i="1" a="1"/>
  <c r="E155" i="1" s="1"/>
  <c r="E156" i="1" a="1"/>
  <c r="E156" i="1" s="1"/>
  <c r="E157" i="1" a="1"/>
  <c r="E157" i="1" s="1"/>
  <c r="E158" i="1" a="1"/>
  <c r="E158" i="1" s="1"/>
  <c r="E159" i="1" a="1"/>
  <c r="E159" i="1" s="1"/>
  <c r="E160" i="1" a="1"/>
  <c r="E160" i="1"/>
  <c r="E161" i="1" a="1"/>
  <c r="E161" i="1" s="1"/>
  <c r="E162" i="1" a="1"/>
  <c r="E162" i="1" s="1"/>
  <c r="E163" i="1" a="1"/>
  <c r="E163" i="1" s="1"/>
  <c r="E164" i="1" a="1"/>
  <c r="E164" i="1" s="1"/>
  <c r="E165" i="1" a="1"/>
  <c r="E165" i="1" s="1"/>
  <c r="E166" i="1" a="1"/>
  <c r="E166" i="1" s="1"/>
  <c r="E167" i="1" a="1"/>
  <c r="E167" i="1" s="1"/>
  <c r="E168" i="1" a="1"/>
  <c r="E168" i="1"/>
  <c r="E169" i="1" a="1"/>
  <c r="E169" i="1" s="1"/>
  <c r="E170" i="1" a="1"/>
  <c r="E170" i="1" s="1"/>
  <c r="E171" i="1" a="1"/>
  <c r="E171" i="1" s="1"/>
  <c r="E172" i="1" a="1"/>
  <c r="E172" i="1" s="1"/>
  <c r="E173" i="1" a="1"/>
  <c r="E173" i="1" s="1"/>
  <c r="E174" i="1" a="1"/>
  <c r="E174" i="1" s="1"/>
  <c r="E175" i="1" a="1"/>
  <c r="E175" i="1" s="1"/>
  <c r="E176" i="1" a="1"/>
  <c r="E176" i="1"/>
  <c r="E177" i="1" a="1"/>
  <c r="E177" i="1" s="1"/>
  <c r="E178" i="1" a="1"/>
  <c r="E178" i="1" s="1"/>
  <c r="E179" i="1" a="1"/>
  <c r="E179" i="1" s="1"/>
  <c r="E180" i="1" a="1"/>
  <c r="E180" i="1" s="1"/>
  <c r="E181" i="1" a="1"/>
  <c r="E181" i="1" s="1"/>
  <c r="E182" i="1" a="1"/>
  <c r="E182" i="1" s="1"/>
  <c r="E183" i="1" a="1"/>
  <c r="E183" i="1" s="1"/>
  <c r="E184" i="1" a="1"/>
  <c r="E184" i="1"/>
  <c r="E185" i="1" a="1"/>
  <c r="E185" i="1" s="1"/>
  <c r="E186" i="1" a="1"/>
  <c r="E186" i="1" s="1"/>
  <c r="E187" i="1" a="1"/>
  <c r="E187" i="1" s="1"/>
  <c r="E188" i="1" a="1"/>
  <c r="E188" i="1" s="1"/>
  <c r="E189" i="1" a="1"/>
  <c r="E189" i="1" s="1"/>
  <c r="E190" i="1" a="1"/>
  <c r="E190" i="1" s="1"/>
  <c r="E191" i="1" a="1"/>
  <c r="E191" i="1" s="1"/>
  <c r="E192" i="1" a="1"/>
  <c r="E192" i="1"/>
  <c r="E193" i="1" a="1"/>
  <c r="E193" i="1" s="1"/>
  <c r="E194" i="1" a="1"/>
  <c r="E194" i="1" s="1"/>
  <c r="E195" i="1" a="1"/>
  <c r="E195" i="1" s="1"/>
  <c r="E196" i="1" a="1"/>
  <c r="E196" i="1" s="1"/>
  <c r="E197" i="1" a="1"/>
  <c r="E197" i="1" s="1"/>
  <c r="E198" i="1" a="1"/>
  <c r="E198" i="1" s="1"/>
  <c r="E199" i="1" a="1"/>
  <c r="E199" i="1" s="1"/>
  <c r="E200" i="1" a="1"/>
  <c r="E200" i="1"/>
  <c r="E201" i="1" a="1"/>
  <c r="E201" i="1" s="1"/>
  <c r="E202" i="1" a="1"/>
  <c r="E202" i="1" s="1"/>
  <c r="E203" i="1" a="1"/>
  <c r="E203" i="1" s="1"/>
  <c r="E204" i="1" a="1"/>
  <c r="E204" i="1" s="1"/>
  <c r="E205" i="1" a="1"/>
  <c r="E205" i="1" s="1"/>
  <c r="E206" i="1" a="1"/>
  <c r="E206" i="1" s="1"/>
  <c r="E207" i="1" a="1"/>
  <c r="E207" i="1" s="1"/>
  <c r="E208" i="1" a="1"/>
  <c r="E208" i="1"/>
  <c r="E209" i="1" a="1"/>
  <c r="E209" i="1" s="1"/>
  <c r="E210" i="1" a="1"/>
  <c r="E210" i="1" s="1"/>
  <c r="E211" i="1" a="1"/>
  <c r="E211" i="1" s="1"/>
  <c r="E212" i="1" a="1"/>
  <c r="E212" i="1" s="1"/>
  <c r="E213" i="1" a="1"/>
  <c r="E213" i="1" s="1"/>
  <c r="E214" i="1" a="1"/>
  <c r="E214" i="1" s="1"/>
  <c r="E215" i="1" a="1"/>
  <c r="E215" i="1" s="1"/>
  <c r="E216" i="1" a="1"/>
  <c r="E216" i="1"/>
  <c r="E217" i="1" a="1"/>
  <c r="E217" i="1" s="1"/>
  <c r="E218" i="1" a="1"/>
  <c r="E218" i="1" s="1"/>
  <c r="E219" i="1" a="1"/>
  <c r="E219" i="1" s="1"/>
  <c r="E220" i="1" a="1"/>
  <c r="E220" i="1" s="1"/>
  <c r="E221" i="1" a="1"/>
  <c r="E221" i="1" s="1"/>
  <c r="E222" i="1" a="1"/>
  <c r="E222" i="1" s="1"/>
  <c r="E223" i="1" a="1"/>
  <c r="E223" i="1" s="1"/>
  <c r="E224" i="1" a="1"/>
  <c r="E224" i="1"/>
  <c r="E225" i="1" a="1"/>
  <c r="E225" i="1" s="1"/>
  <c r="E226" i="1" a="1"/>
  <c r="E226" i="1" s="1"/>
  <c r="E227" i="1" a="1"/>
  <c r="E227" i="1" s="1"/>
  <c r="E228" i="1" a="1"/>
  <c r="E228" i="1" s="1"/>
  <c r="E229" i="1" a="1"/>
  <c r="E229" i="1" s="1"/>
  <c r="E230" i="1" a="1"/>
  <c r="E230" i="1" s="1"/>
  <c r="E231" i="1" a="1"/>
  <c r="E231" i="1" s="1"/>
  <c r="E232" i="1" a="1"/>
  <c r="E232" i="1"/>
  <c r="E233" i="1" a="1"/>
  <c r="E233" i="1" s="1"/>
  <c r="E234" i="1" a="1"/>
  <c r="E234" i="1" s="1"/>
  <c r="E235" i="1" a="1"/>
  <c r="E235" i="1" s="1"/>
  <c r="E236" i="1" a="1"/>
  <c r="E236" i="1" s="1"/>
  <c r="E237" i="1" a="1"/>
  <c r="E237" i="1" s="1"/>
  <c r="E238" i="1" a="1"/>
  <c r="E238" i="1" s="1"/>
  <c r="E239" i="1" a="1"/>
  <c r="E239" i="1" s="1"/>
  <c r="E240" i="1" a="1"/>
  <c r="E240" i="1"/>
  <c r="E241" i="1" a="1"/>
  <c r="E241" i="1" s="1"/>
  <c r="E242" i="1" a="1"/>
  <c r="E242" i="1" s="1"/>
  <c r="E243" i="1" a="1"/>
  <c r="E243" i="1" s="1"/>
  <c r="E244" i="1" a="1"/>
  <c r="E244" i="1" s="1"/>
  <c r="E245" i="1" a="1"/>
  <c r="E245" i="1" s="1"/>
  <c r="E246" i="1" a="1"/>
  <c r="E246" i="1" s="1"/>
  <c r="E247" i="1" a="1"/>
  <c r="E247" i="1" s="1"/>
  <c r="E248" i="1" a="1"/>
  <c r="E248" i="1"/>
  <c r="E249" i="1" a="1"/>
  <c r="E249" i="1" s="1"/>
  <c r="E250" i="1" a="1"/>
  <c r="E250" i="1" s="1"/>
  <c r="E251" i="1" a="1"/>
  <c r="E251" i="1" s="1"/>
  <c r="E252" i="1" a="1"/>
  <c r="E252" i="1" s="1"/>
  <c r="E253" i="1" a="1"/>
  <c r="E253" i="1" s="1"/>
  <c r="E254" i="1" a="1"/>
  <c r="E254" i="1" s="1"/>
  <c r="E255" i="1" a="1"/>
  <c r="E255" i="1" s="1"/>
  <c r="E256" i="1" a="1"/>
  <c r="E256" i="1"/>
  <c r="E257" i="1" a="1"/>
  <c r="E257" i="1" s="1"/>
  <c r="E258" i="1" a="1"/>
  <c r="E258" i="1" s="1"/>
  <c r="E259" i="1" a="1"/>
  <c r="E259" i="1" s="1"/>
  <c r="E260" i="1" a="1"/>
  <c r="E260" i="1" s="1"/>
  <c r="E261" i="1" a="1"/>
  <c r="E261" i="1" s="1"/>
  <c r="E262" i="1" a="1"/>
  <c r="E262" i="1" s="1"/>
  <c r="E263" i="1" a="1"/>
  <c r="E263" i="1" s="1"/>
  <c r="E264" i="1" a="1"/>
  <c r="E264" i="1"/>
  <c r="E265" i="1" a="1"/>
  <c r="E265" i="1" s="1"/>
  <c r="E266" i="1" a="1"/>
  <c r="E266" i="1" s="1"/>
  <c r="E267" i="1" a="1"/>
  <c r="E267" i="1" s="1"/>
  <c r="E268" i="1" a="1"/>
  <c r="E268" i="1" s="1"/>
  <c r="E269" i="1" a="1"/>
  <c r="E269" i="1" s="1"/>
  <c r="E270" i="1" a="1"/>
  <c r="E270" i="1" s="1"/>
  <c r="E271" i="1" a="1"/>
  <c r="E271" i="1" s="1"/>
  <c r="E272" i="1" a="1"/>
  <c r="E272" i="1"/>
  <c r="E273" i="1" a="1"/>
  <c r="E273" i="1" s="1"/>
  <c r="E274" i="1" a="1"/>
  <c r="E274" i="1" s="1"/>
  <c r="E275" i="1" a="1"/>
  <c r="E275" i="1" s="1"/>
  <c r="E276" i="1" a="1"/>
  <c r="E276" i="1" s="1"/>
  <c r="E277" i="1" a="1"/>
  <c r="E277" i="1" s="1"/>
  <c r="E278" i="1" a="1"/>
  <c r="E278" i="1" s="1"/>
  <c r="E279" i="1" a="1"/>
  <c r="E279" i="1" s="1"/>
  <c r="E280" i="1" a="1"/>
  <c r="E280" i="1"/>
  <c r="E281" i="1" a="1"/>
  <c r="E281" i="1" s="1"/>
  <c r="E282" i="1" a="1"/>
  <c r="E282" i="1" s="1"/>
  <c r="E283" i="1" a="1"/>
  <c r="E283" i="1" s="1"/>
  <c r="E284" i="1" a="1"/>
  <c r="E284" i="1" s="1"/>
  <c r="E285" i="1" a="1"/>
  <c r="E285" i="1" s="1"/>
  <c r="E286" i="1" a="1"/>
  <c r="E286" i="1" s="1"/>
  <c r="E287" i="1" a="1"/>
  <c r="E287" i="1" s="1"/>
  <c r="E288" i="1" a="1"/>
  <c r="E288" i="1"/>
  <c r="E289" i="1" a="1"/>
  <c r="E289" i="1" s="1"/>
  <c r="E290" i="1" a="1"/>
  <c r="E290" i="1" s="1"/>
  <c r="E291" i="1" a="1"/>
  <c r="E291" i="1" s="1"/>
  <c r="E292" i="1" a="1"/>
  <c r="E292" i="1" s="1"/>
  <c r="E293" i="1" a="1"/>
  <c r="E293" i="1" s="1"/>
  <c r="E294" i="1" a="1"/>
  <c r="E294" i="1" s="1"/>
  <c r="E295" i="1" a="1"/>
  <c r="E295" i="1" s="1"/>
  <c r="E296" i="1" a="1"/>
  <c r="E296" i="1"/>
  <c r="E297" i="1" a="1"/>
  <c r="E297" i="1" s="1"/>
  <c r="E298" i="1" a="1"/>
  <c r="E298" i="1" s="1"/>
  <c r="E299" i="1" a="1"/>
  <c r="E299" i="1" s="1"/>
  <c r="E300" i="1" a="1"/>
  <c r="E300" i="1" s="1"/>
  <c r="E301" i="1" a="1"/>
  <c r="E301" i="1" s="1"/>
  <c r="E302" i="1" a="1"/>
  <c r="E302" i="1" s="1"/>
  <c r="E303" i="1" a="1"/>
  <c r="E303" i="1" s="1"/>
  <c r="E304" i="1" a="1"/>
  <c r="E304" i="1"/>
  <c r="E305" i="1" a="1"/>
  <c r="E305" i="1" s="1"/>
  <c r="E306" i="1" a="1"/>
  <c r="E306" i="1" s="1"/>
  <c r="E307" i="1" a="1"/>
  <c r="E307" i="1" s="1"/>
  <c r="E308" i="1" a="1"/>
  <c r="E308" i="1" s="1"/>
  <c r="E309" i="1" a="1"/>
  <c r="E309" i="1" s="1"/>
  <c r="E310" i="1" a="1"/>
  <c r="E310" i="1" s="1"/>
  <c r="E311" i="1" a="1"/>
  <c r="E311" i="1" s="1"/>
  <c r="E312" i="1" a="1"/>
  <c r="E312" i="1"/>
  <c r="E313" i="1" a="1"/>
  <c r="E313" i="1" s="1"/>
  <c r="E314" i="1" a="1"/>
  <c r="E314" i="1" s="1"/>
  <c r="E315" i="1" a="1"/>
  <c r="E315" i="1" s="1"/>
  <c r="E316" i="1" a="1"/>
  <c r="E316" i="1" s="1"/>
  <c r="E317" i="1" a="1"/>
  <c r="E317" i="1" s="1"/>
  <c r="E318" i="1" a="1"/>
  <c r="E318" i="1" s="1"/>
  <c r="E319" i="1" a="1"/>
  <c r="E319" i="1" s="1"/>
  <c r="E320" i="1" a="1"/>
  <c r="E320" i="1"/>
  <c r="E321" i="1" a="1"/>
  <c r="E321" i="1" s="1"/>
  <c r="E322" i="1" a="1"/>
  <c r="E322" i="1" s="1"/>
  <c r="E323" i="1" a="1"/>
  <c r="E323" i="1" s="1"/>
  <c r="E324" i="1" a="1"/>
  <c r="E324" i="1" s="1"/>
  <c r="E325" i="1" a="1"/>
  <c r="E325" i="1" s="1"/>
  <c r="E326" i="1" a="1"/>
  <c r="E326" i="1" s="1"/>
  <c r="E327" i="1" a="1"/>
  <c r="E327" i="1" s="1"/>
  <c r="E328" i="1" a="1"/>
  <c r="E328" i="1"/>
  <c r="E329" i="1" a="1"/>
  <c r="E329" i="1" s="1"/>
  <c r="E330" i="1" a="1"/>
  <c r="E330" i="1" s="1"/>
  <c r="E331" i="1" a="1"/>
  <c r="E331" i="1" s="1"/>
  <c r="E332" i="1" a="1"/>
  <c r="E332" i="1" s="1"/>
  <c r="E333" i="1" a="1"/>
  <c r="E333" i="1" s="1"/>
  <c r="E334" i="1" a="1"/>
  <c r="E334" i="1" s="1"/>
  <c r="E335" i="1" a="1"/>
  <c r="E335" i="1" s="1"/>
  <c r="E336" i="1" a="1"/>
  <c r="E336" i="1"/>
  <c r="E337" i="1" a="1"/>
  <c r="E337" i="1" s="1"/>
  <c r="E338" i="1" a="1"/>
  <c r="E338" i="1" s="1"/>
  <c r="E339" i="1" a="1"/>
  <c r="E339" i="1" s="1"/>
  <c r="E340" i="1" a="1"/>
  <c r="E340" i="1" s="1"/>
  <c r="E341" i="1" a="1"/>
  <c r="E341" i="1" s="1"/>
  <c r="E342" i="1" a="1"/>
  <c r="E342" i="1" s="1"/>
  <c r="E343" i="1" a="1"/>
  <c r="E343" i="1" s="1"/>
  <c r="E344" i="1" a="1"/>
  <c r="E344" i="1"/>
  <c r="E345" i="1" a="1"/>
  <c r="E345" i="1" s="1"/>
  <c r="E346" i="1" a="1"/>
  <c r="E346" i="1" s="1"/>
  <c r="E347" i="1" a="1"/>
  <c r="E347" i="1" s="1"/>
  <c r="E348" i="1" a="1"/>
  <c r="E348" i="1" s="1"/>
  <c r="E349" i="1" a="1"/>
  <c r="E349" i="1" s="1"/>
  <c r="E350" i="1" a="1"/>
  <c r="E350" i="1" s="1"/>
  <c r="E351" i="1" a="1"/>
  <c r="E351" i="1" s="1"/>
  <c r="E352" i="1" a="1"/>
  <c r="E352" i="1"/>
  <c r="E353" i="1" a="1"/>
  <c r="E353" i="1" s="1"/>
  <c r="E354" i="1" a="1"/>
  <c r="E354" i="1" s="1"/>
  <c r="E355" i="1" a="1"/>
  <c r="E355" i="1" s="1"/>
  <c r="E356" i="1" a="1"/>
  <c r="E356" i="1" s="1"/>
  <c r="E357" i="1" a="1"/>
  <c r="E357" i="1" s="1"/>
  <c r="E358" i="1" a="1"/>
  <c r="E358" i="1" s="1"/>
  <c r="E359" i="1" a="1"/>
  <c r="E359" i="1" s="1"/>
  <c r="E360" i="1" a="1"/>
  <c r="E360" i="1"/>
  <c r="E361" i="1" a="1"/>
  <c r="E361" i="1" s="1"/>
  <c r="E362" i="1" a="1"/>
  <c r="E362" i="1" s="1"/>
  <c r="E363" i="1" a="1"/>
  <c r="E363" i="1" s="1"/>
  <c r="E364" i="1" a="1"/>
  <c r="E364" i="1" s="1"/>
  <c r="E365" i="1" a="1"/>
  <c r="E365" i="1" s="1"/>
  <c r="E366" i="1" a="1"/>
  <c r="E366" i="1" s="1"/>
  <c r="E368" i="1" a="1"/>
  <c r="E368" i="1"/>
  <c r="E369" i="1" a="1"/>
  <c r="E369" i="1" s="1"/>
  <c r="E371" i="1" a="1"/>
  <c r="E371" i="1" s="1"/>
  <c r="E372" i="1" a="1"/>
  <c r="E372" i="1" s="1"/>
  <c r="E373" i="1" a="1"/>
  <c r="E373" i="1" s="1"/>
  <c r="E374" i="1" a="1"/>
  <c r="E374" i="1" s="1"/>
  <c r="E375" i="1" a="1"/>
  <c r="E375" i="1" s="1"/>
  <c r="E376" i="1" a="1"/>
  <c r="E376" i="1"/>
  <c r="E377" i="1" a="1"/>
  <c r="E377" i="1" s="1"/>
  <c r="E395" i="1" a="1"/>
  <c r="E395" i="1" s="1"/>
  <c r="E396" i="1" a="1"/>
  <c r="E396" i="1" s="1"/>
  <c r="E397" i="1" a="1"/>
  <c r="E397" i="1" s="1"/>
  <c r="E398" i="1" a="1"/>
  <c r="E398" i="1" s="1"/>
  <c r="E399" i="1" a="1"/>
  <c r="E399" i="1" s="1"/>
  <c r="E400" i="1" a="1"/>
  <c r="E400" i="1"/>
  <c r="E401" i="1" a="1"/>
  <c r="E401" i="1" s="1"/>
  <c r="E402" i="1" a="1"/>
  <c r="E402" i="1" s="1"/>
  <c r="E403" i="1" a="1"/>
  <c r="E403" i="1" s="1"/>
  <c r="E404" i="1" a="1"/>
  <c r="E404" i="1" s="1"/>
  <c r="E405" i="1" a="1"/>
  <c r="E405" i="1" s="1"/>
  <c r="E406" i="1" a="1"/>
  <c r="E406" i="1" s="1"/>
  <c r="E407" i="1" a="1"/>
  <c r="E407" i="1" s="1"/>
  <c r="E408" i="1" a="1"/>
  <c r="E408" i="1" s="1"/>
  <c r="E409" i="1" a="1"/>
  <c r="E409" i="1" s="1"/>
  <c r="E410" i="1" a="1"/>
  <c r="E410" i="1" s="1"/>
  <c r="E411" i="1" a="1"/>
  <c r="E411" i="1" s="1"/>
  <c r="E412" i="1" a="1"/>
  <c r="E412" i="1" s="1"/>
  <c r="E413" i="1" a="1"/>
  <c r="E413" i="1" s="1"/>
  <c r="E414" i="1" a="1"/>
  <c r="E414" i="1" s="1"/>
  <c r="E415" i="1" a="1"/>
  <c r="E415" i="1" s="1"/>
  <c r="E416" i="1" a="1"/>
  <c r="E416" i="1" s="1"/>
  <c r="E417" i="1" a="1"/>
  <c r="E417" i="1" s="1"/>
  <c r="E418" i="1" a="1"/>
  <c r="E418" i="1" s="1"/>
  <c r="E419" i="1" a="1"/>
  <c r="E419" i="1" s="1"/>
  <c r="E420" i="1" a="1"/>
  <c r="E420" i="1" s="1"/>
  <c r="E421" i="1" a="1"/>
  <c r="E421" i="1" s="1"/>
  <c r="E422" i="1" a="1"/>
  <c r="E422" i="1" s="1"/>
  <c r="E423" i="1" a="1"/>
  <c r="E423" i="1" s="1"/>
  <c r="E424" i="1" a="1"/>
  <c r="E424" i="1" s="1"/>
  <c r="E425" i="1" a="1"/>
  <c r="E425" i="1" s="1"/>
  <c r="E426" i="1" a="1"/>
  <c r="E426" i="1" s="1"/>
  <c r="E427" i="1" a="1"/>
  <c r="E427" i="1" s="1"/>
  <c r="E428" i="1" a="1"/>
  <c r="E428" i="1" s="1"/>
  <c r="E429" i="1" a="1"/>
  <c r="E429" i="1" s="1"/>
  <c r="E430" i="1" a="1"/>
  <c r="E430" i="1" s="1"/>
  <c r="E431" i="1" a="1"/>
  <c r="E431" i="1" s="1"/>
  <c r="E432" i="1" a="1"/>
  <c r="E432" i="1" s="1"/>
  <c r="E433" i="1" a="1"/>
  <c r="E433" i="1" s="1"/>
  <c r="E434" i="1" a="1"/>
  <c r="E434" i="1" s="1"/>
  <c r="E435" i="1" a="1"/>
  <c r="E435" i="1" s="1"/>
  <c r="E436" i="1" a="1"/>
  <c r="E436" i="1" s="1"/>
  <c r="E437" i="1" a="1"/>
  <c r="E437" i="1" s="1"/>
  <c r="E438" i="1" a="1"/>
  <c r="E438" i="1" s="1"/>
  <c r="E439" i="1" a="1"/>
  <c r="E439" i="1" s="1"/>
  <c r="E440" i="1" a="1"/>
  <c r="E440" i="1" s="1"/>
  <c r="E441" i="1" a="1"/>
  <c r="E441" i="1" s="1"/>
  <c r="E442" i="1" a="1"/>
  <c r="E442" i="1" s="1"/>
  <c r="E443" i="1" a="1"/>
  <c r="E443" i="1" s="1"/>
  <c r="E444" i="1" a="1"/>
  <c r="E444" i="1" s="1"/>
  <c r="E445" i="1" a="1"/>
  <c r="E445" i="1" s="1"/>
  <c r="E446" i="1" a="1"/>
  <c r="E446" i="1" s="1"/>
  <c r="E447" i="1" a="1"/>
  <c r="E447" i="1" s="1"/>
  <c r="E448" i="1" a="1"/>
  <c r="E448" i="1" s="1"/>
  <c r="E449" i="1" a="1"/>
  <c r="E449" i="1" s="1"/>
  <c r="E450" i="1" a="1"/>
  <c r="E450" i="1" s="1"/>
  <c r="E451" i="1" a="1"/>
  <c r="E451" i="1" s="1"/>
  <c r="E452" i="1" a="1"/>
  <c r="E452" i="1" s="1"/>
  <c r="E453" i="1" a="1"/>
  <c r="E453" i="1" s="1"/>
  <c r="E454" i="1" a="1"/>
  <c r="E454" i="1" s="1"/>
  <c r="E455" i="1" a="1"/>
  <c r="E455" i="1" s="1"/>
  <c r="E456" i="1" a="1"/>
  <c r="E456" i="1" s="1"/>
  <c r="E457" i="1" a="1"/>
  <c r="E457" i="1" s="1"/>
  <c r="E458" i="1" a="1"/>
  <c r="E458" i="1" s="1"/>
  <c r="E459" i="1" a="1"/>
  <c r="E459" i="1" s="1"/>
  <c r="E460" i="1" a="1"/>
  <c r="E460" i="1" s="1"/>
  <c r="E461" i="1" a="1"/>
  <c r="E461" i="1" s="1"/>
  <c r="E462" i="1" a="1"/>
  <c r="E462" i="1" s="1"/>
  <c r="E463" i="1" a="1"/>
  <c r="E463" i="1" s="1"/>
  <c r="E464" i="1" a="1"/>
  <c r="E464" i="1" s="1"/>
  <c r="E465" i="1" a="1"/>
  <c r="E465" i="1" s="1"/>
  <c r="E466" i="1" a="1"/>
  <c r="E466" i="1" s="1"/>
  <c r="E467" i="1" a="1"/>
  <c r="E467" i="1" s="1"/>
  <c r="E468" i="1" a="1"/>
  <c r="E468" i="1" s="1"/>
  <c r="E469" i="1" a="1"/>
  <c r="E469" i="1" s="1"/>
  <c r="E470" i="1" a="1"/>
  <c r="E470" i="1" s="1"/>
  <c r="E471" i="1" a="1"/>
  <c r="E471" i="1" s="1"/>
  <c r="E472" i="1" a="1"/>
  <c r="E472" i="1" s="1"/>
  <c r="E473" i="1" a="1"/>
  <c r="E473" i="1" s="1"/>
  <c r="E474" i="1" a="1"/>
  <c r="E474" i="1" s="1"/>
  <c r="E475" i="1" a="1"/>
  <c r="E475" i="1" s="1"/>
  <c r="E476" i="1" a="1"/>
  <c r="E476" i="1" s="1"/>
  <c r="E477" i="1" a="1"/>
  <c r="E477" i="1" s="1"/>
  <c r="E478" i="1" a="1"/>
  <c r="E478" i="1" s="1"/>
  <c r="E479" i="1" a="1"/>
  <c r="E479" i="1" s="1"/>
  <c r="E480" i="1" a="1"/>
  <c r="E480" i="1" s="1"/>
  <c r="E481" i="1" a="1"/>
  <c r="E481" i="1" s="1"/>
  <c r="E482" i="1" a="1"/>
  <c r="E482" i="1" s="1"/>
  <c r="E493" i="1" a="1"/>
  <c r="E493" i="1" s="1"/>
  <c r="E495" i="1" a="1"/>
  <c r="E495" i="1" s="1"/>
  <c r="E497" i="1" a="1"/>
  <c r="E497" i="1" s="1"/>
  <c r="E498" i="1" a="1"/>
  <c r="E498" i="1" s="1"/>
  <c r="E499" i="1" a="1"/>
  <c r="E499" i="1" s="1"/>
  <c r="E500" i="1" a="1"/>
  <c r="E500" i="1" s="1"/>
  <c r="E501" i="1" a="1"/>
  <c r="E501" i="1" s="1"/>
  <c r="E502" i="1" a="1"/>
  <c r="E502" i="1" s="1"/>
  <c r="E503" i="1" a="1"/>
  <c r="E503" i="1" s="1"/>
  <c r="E504" i="1" a="1"/>
  <c r="E504" i="1" s="1"/>
  <c r="E505" i="1" a="1"/>
  <c r="E505" i="1" s="1"/>
  <c r="E506" i="1" a="1"/>
  <c r="E506" i="1" s="1"/>
  <c r="E507" i="1" a="1"/>
  <c r="E507" i="1" s="1"/>
  <c r="E508" i="1" a="1"/>
  <c r="E508" i="1" s="1"/>
  <c r="E509" i="1" a="1"/>
  <c r="E509" i="1" s="1"/>
  <c r="E510" i="1" a="1"/>
  <c r="E510" i="1" s="1"/>
  <c r="E511" i="1" a="1"/>
  <c r="E511" i="1" s="1"/>
  <c r="E512" i="1" a="1"/>
  <c r="E512" i="1" s="1"/>
  <c r="E513" i="1" a="1"/>
  <c r="E513" i="1" s="1"/>
  <c r="D442" i="1" a="1"/>
  <c r="D442" i="1" s="1"/>
  <c r="D441" i="1" a="1"/>
  <c r="D441" i="1" s="1"/>
  <c r="D440" i="1" a="1"/>
  <c r="D440" i="1" s="1"/>
  <c r="D439" i="1" a="1"/>
  <c r="D439" i="1" s="1"/>
  <c r="D438" i="1" a="1"/>
  <c r="D438" i="1" s="1"/>
  <c r="D437" i="1" a="1"/>
  <c r="D437" i="1" s="1"/>
  <c r="D429" i="1" a="1"/>
  <c r="D429" i="1" s="1"/>
  <c r="D426" i="1" a="1"/>
  <c r="D426" i="1" s="1"/>
  <c r="D418" i="1" a="1"/>
  <c r="D418" i="1" s="1"/>
  <c r="D417" i="1" a="1"/>
  <c r="D417" i="1" s="1"/>
  <c r="D416" i="1" a="1"/>
  <c r="D416" i="1" s="1"/>
  <c r="D415" i="1" a="1"/>
  <c r="D415" i="1" s="1"/>
  <c r="D414" i="1" a="1"/>
  <c r="D414" i="1" s="1"/>
  <c r="D407" i="1" a="1"/>
  <c r="D407" i="1" s="1"/>
  <c r="D380" i="1" a="1"/>
  <c r="D380" i="1" s="1"/>
  <c r="D379" i="1" a="1"/>
  <c r="D379" i="1" s="1"/>
  <c r="D350" i="1" a="1"/>
  <c r="D350" i="1" s="1"/>
  <c r="D340" i="1" a="1"/>
  <c r="D340" i="1" s="1"/>
  <c r="D334" i="1" a="1"/>
  <c r="D334" i="1" s="1"/>
  <c r="D329" i="1" a="1"/>
  <c r="D329" i="1" s="1"/>
  <c r="D321" i="1" a="1"/>
  <c r="D321" i="1" s="1"/>
  <c r="D315" i="1" a="1"/>
  <c r="D315" i="1" s="1"/>
  <c r="D295" i="1" a="1"/>
  <c r="D295" i="1" s="1"/>
  <c r="D276" i="1" a="1"/>
  <c r="D276" i="1" s="1"/>
  <c r="D275" i="1" a="1"/>
  <c r="D275" i="1" s="1"/>
  <c r="D274" i="1" a="1"/>
  <c r="D274" i="1" s="1"/>
  <c r="D273" i="1" a="1"/>
  <c r="D273" i="1" s="1"/>
  <c r="D272" i="1" a="1"/>
  <c r="D272" i="1" s="1"/>
  <c r="D271" i="1" a="1"/>
  <c r="D271" i="1" s="1"/>
  <c r="D270" i="1" a="1"/>
  <c r="D270" i="1" s="1"/>
  <c r="D269" i="1" a="1"/>
  <c r="D269" i="1" s="1"/>
  <c r="D268" i="1" a="1"/>
  <c r="D268" i="1" s="1"/>
  <c r="D267" i="1" a="1"/>
  <c r="D267" i="1" s="1"/>
  <c r="D266" i="1" a="1"/>
  <c r="D266" i="1" s="1"/>
  <c r="D265" i="1" a="1"/>
  <c r="D265" i="1" s="1"/>
  <c r="D264" i="1" a="1"/>
  <c r="D264" i="1" s="1"/>
  <c r="D263" i="1" a="1"/>
  <c r="D263" i="1" s="1"/>
  <c r="D262" i="1" a="1"/>
  <c r="D262" i="1" s="1"/>
  <c r="D261" i="1" a="1"/>
  <c r="D261" i="1" s="1"/>
  <c r="D260" i="1" a="1"/>
  <c r="D260" i="1" s="1"/>
  <c r="D259" i="1" a="1"/>
  <c r="D259" i="1" s="1"/>
  <c r="D258" i="1" a="1"/>
  <c r="D258" i="1" s="1"/>
  <c r="D257" i="1" a="1"/>
  <c r="D257" i="1" s="1"/>
  <c r="D256" i="1" a="1"/>
  <c r="D256" i="1" s="1"/>
  <c r="D255" i="1" a="1"/>
  <c r="D255" i="1" s="1"/>
  <c r="D254" i="1" a="1"/>
  <c r="D254" i="1" s="1"/>
  <c r="D253" i="1" a="1"/>
  <c r="D253" i="1" s="1"/>
  <c r="D252" i="1" a="1"/>
  <c r="D252" i="1" s="1"/>
  <c r="D251" i="1" a="1"/>
  <c r="D251" i="1" s="1"/>
  <c r="D250" i="1" a="1"/>
  <c r="D250" i="1" s="1"/>
  <c r="D249" i="1" a="1"/>
  <c r="D249" i="1" s="1"/>
  <c r="D248" i="1" a="1"/>
  <c r="D248" i="1" s="1"/>
  <c r="D247" i="1" a="1"/>
  <c r="D247" i="1" s="1"/>
  <c r="D246" i="1" a="1"/>
  <c r="D246" i="1" s="1"/>
  <c r="D245" i="1" a="1"/>
  <c r="D245" i="1" s="1"/>
  <c r="D244" i="1" a="1"/>
  <c r="D244" i="1" s="1"/>
  <c r="D243" i="1" a="1"/>
  <c r="D243" i="1" s="1"/>
  <c r="D242" i="1" a="1"/>
  <c r="D242" i="1" s="1"/>
  <c r="D241" i="1" a="1"/>
  <c r="D241" i="1" s="1"/>
  <c r="D240" i="1" a="1"/>
  <c r="D240" i="1" s="1"/>
  <c r="D239" i="1" a="1"/>
  <c r="D239" i="1" s="1"/>
  <c r="D238" i="1" a="1"/>
  <c r="D238" i="1" s="1"/>
  <c r="D237" i="1" a="1"/>
  <c r="D237" i="1" s="1"/>
  <c r="D236" i="1" a="1"/>
  <c r="D236" i="1" s="1"/>
  <c r="D235" i="1" a="1"/>
  <c r="D235" i="1" s="1"/>
  <c r="D234" i="1" a="1"/>
  <c r="D234" i="1" s="1"/>
  <c r="D233" i="1" a="1"/>
  <c r="D233" i="1" s="1"/>
  <c r="D232" i="1" a="1"/>
  <c r="D232" i="1" s="1"/>
  <c r="D231" i="1" a="1"/>
  <c r="D231" i="1" s="1"/>
  <c r="D230" i="1" a="1"/>
  <c r="D230" i="1" s="1"/>
  <c r="D229" i="1" a="1"/>
  <c r="D229" i="1" s="1"/>
  <c r="D228" i="1" a="1"/>
  <c r="D228" i="1" s="1"/>
  <c r="D227" i="1" a="1"/>
  <c r="D227" i="1" s="1"/>
  <c r="D226" i="1" a="1"/>
  <c r="D226" i="1" s="1"/>
  <c r="D225" i="1" a="1"/>
  <c r="D225" i="1" s="1"/>
  <c r="D224" i="1" a="1"/>
  <c r="D224" i="1" s="1"/>
  <c r="D223" i="1" a="1"/>
  <c r="D223" i="1" s="1"/>
  <c r="D222" i="1" a="1"/>
  <c r="D222" i="1" s="1"/>
  <c r="D221" i="1" a="1"/>
  <c r="D221" i="1" s="1"/>
  <c r="D220" i="1" a="1"/>
  <c r="D220" i="1" s="1"/>
  <c r="D219" i="1" a="1"/>
  <c r="D219" i="1" s="1"/>
  <c r="D218" i="1" a="1"/>
  <c r="D218" i="1" s="1"/>
  <c r="D217" i="1" a="1"/>
  <c r="D217" i="1" s="1"/>
  <c r="D216" i="1" a="1"/>
  <c r="D216" i="1" s="1"/>
  <c r="D215" i="1" a="1"/>
  <c r="D215" i="1" s="1"/>
  <c r="D214" i="1" a="1"/>
  <c r="D214" i="1" s="1"/>
  <c r="D213" i="1" a="1"/>
  <c r="D213" i="1" s="1"/>
  <c r="D212" i="1" a="1"/>
  <c r="D212" i="1" s="1"/>
  <c r="D211" i="1" a="1"/>
  <c r="D211" i="1" s="1"/>
  <c r="D210" i="1" a="1"/>
  <c r="D210" i="1" s="1"/>
  <c r="D209" i="1" a="1"/>
  <c r="D209" i="1" s="1"/>
  <c r="D208" i="1" a="1"/>
  <c r="D208" i="1" s="1"/>
  <c r="D207" i="1" a="1"/>
  <c r="D207" i="1" s="1"/>
  <c r="D206" i="1" a="1"/>
  <c r="D206" i="1" s="1"/>
  <c r="D205" i="1" a="1"/>
  <c r="D205" i="1" s="1"/>
  <c r="D204" i="1" a="1"/>
  <c r="D204" i="1" s="1"/>
  <c r="D203" i="1" a="1"/>
  <c r="D203" i="1" s="1"/>
  <c r="D202" i="1" a="1"/>
  <c r="D202" i="1" s="1"/>
  <c r="D201" i="1" a="1"/>
  <c r="D201" i="1" s="1"/>
  <c r="D200" i="1" a="1"/>
  <c r="D200" i="1" s="1"/>
  <c r="D199" i="1" a="1"/>
  <c r="D199" i="1" s="1"/>
  <c r="D198" i="1" a="1"/>
  <c r="D198" i="1" s="1"/>
  <c r="D197" i="1" a="1"/>
  <c r="D197" i="1" s="1"/>
  <c r="D196" i="1" a="1"/>
  <c r="D196" i="1" s="1"/>
  <c r="D195" i="1" a="1"/>
  <c r="D195" i="1" s="1"/>
  <c r="D194" i="1" a="1"/>
  <c r="D194" i="1" s="1"/>
  <c r="D193" i="1" a="1"/>
  <c r="D193" i="1" s="1"/>
  <c r="D192" i="1" a="1"/>
  <c r="D192" i="1" s="1"/>
  <c r="D191" i="1" a="1"/>
  <c r="D191" i="1" s="1"/>
  <c r="D190" i="1" a="1"/>
  <c r="D190" i="1" s="1"/>
  <c r="D189" i="1" a="1"/>
  <c r="D189" i="1" s="1"/>
  <c r="D188" i="1" a="1"/>
  <c r="D188" i="1" s="1"/>
  <c r="D187" i="1" a="1"/>
  <c r="D187" i="1" s="1"/>
  <c r="D186" i="1" a="1"/>
  <c r="D186" i="1" s="1"/>
  <c r="D185" i="1" a="1"/>
  <c r="D185" i="1" s="1"/>
  <c r="D184" i="1" a="1"/>
  <c r="D184" i="1" s="1"/>
  <c r="D183" i="1" a="1"/>
  <c r="D183" i="1" s="1"/>
  <c r="D182" i="1" a="1"/>
  <c r="D182" i="1" s="1"/>
  <c r="D181" i="1" a="1"/>
  <c r="D181" i="1" s="1"/>
  <c r="D180" i="1" a="1"/>
  <c r="D180" i="1" s="1"/>
  <c r="D179" i="1" a="1"/>
  <c r="D179" i="1" s="1"/>
  <c r="D178" i="1" a="1"/>
  <c r="D178" i="1" s="1"/>
  <c r="D177" i="1" a="1"/>
  <c r="D177" i="1" s="1"/>
  <c r="D176" i="1" a="1"/>
  <c r="D176" i="1" s="1"/>
  <c r="D175" i="1" a="1"/>
  <c r="D175" i="1" s="1"/>
  <c r="D174" i="1" a="1"/>
  <c r="D174" i="1" s="1"/>
  <c r="D173" i="1" a="1"/>
  <c r="D173" i="1" s="1"/>
  <c r="D172" i="1" a="1"/>
  <c r="D172" i="1" s="1"/>
  <c r="D171" i="1" a="1"/>
  <c r="D171" i="1" s="1"/>
  <c r="D170" i="1" a="1"/>
  <c r="D170" i="1" s="1"/>
  <c r="D169" i="1" a="1"/>
  <c r="D169" i="1" s="1"/>
  <c r="D168" i="1" a="1"/>
  <c r="D168" i="1" s="1"/>
  <c r="D167" i="1" a="1"/>
  <c r="D167" i="1" s="1"/>
  <c r="D166" i="1" a="1"/>
  <c r="D166" i="1" s="1"/>
  <c r="D165" i="1" a="1"/>
  <c r="D165" i="1" s="1"/>
  <c r="D164" i="1" a="1"/>
  <c r="D164" i="1" s="1"/>
  <c r="D135" i="1" a="1"/>
  <c r="D135" i="1" s="1"/>
  <c r="D134" i="1" a="1"/>
  <c r="D134" i="1" s="1"/>
  <c r="D133" i="1" a="1"/>
  <c r="D133" i="1" s="1"/>
  <c r="D132" i="1" a="1"/>
  <c r="D132" i="1" s="1"/>
  <c r="D131" i="1" a="1"/>
  <c r="D131" i="1" s="1"/>
  <c r="D130" i="1" a="1"/>
  <c r="D130" i="1" s="1"/>
  <c r="D129" i="1" a="1"/>
  <c r="D129" i="1" s="1"/>
  <c r="D125" i="1" a="1"/>
  <c r="D125" i="1" s="1"/>
  <c r="D124" i="1" a="1"/>
  <c r="D124" i="1" s="1"/>
  <c r="D123" i="1" a="1"/>
  <c r="D123" i="1" s="1"/>
  <c r="D122" i="1" a="1"/>
  <c r="D122" i="1" s="1"/>
  <c r="D121" i="1" a="1"/>
  <c r="D121" i="1" s="1"/>
  <c r="D120" i="1" a="1"/>
  <c r="D120" i="1" s="1"/>
  <c r="D119" i="1" a="1"/>
  <c r="D119" i="1" s="1"/>
  <c r="D118" i="1" a="1"/>
  <c r="D118" i="1" s="1"/>
  <c r="D117" i="1" a="1"/>
  <c r="D117" i="1" s="1"/>
  <c r="D116" i="1" a="1"/>
  <c r="D116" i="1" s="1"/>
  <c r="D115" i="1" a="1"/>
  <c r="D115" i="1" s="1"/>
  <c r="D114" i="1" a="1"/>
  <c r="D114" i="1" s="1"/>
  <c r="D113" i="1" a="1"/>
  <c r="D113" i="1" s="1"/>
  <c r="D112" i="1" a="1"/>
  <c r="D112" i="1" s="1"/>
  <c r="D111" i="1" a="1"/>
  <c r="D111" i="1" s="1"/>
  <c r="D110" i="1" a="1"/>
  <c r="D110" i="1" s="1"/>
  <c r="D109" i="1" a="1"/>
  <c r="D109" i="1" s="1"/>
  <c r="D108" i="1" a="1"/>
  <c r="D108" i="1" s="1"/>
  <c r="D107" i="1" a="1"/>
  <c r="D107" i="1" s="1"/>
  <c r="D106" i="1" a="1"/>
  <c r="D106" i="1" s="1"/>
  <c r="D105" i="1" a="1"/>
  <c r="D105" i="1" s="1"/>
  <c r="D104" i="1" a="1"/>
  <c r="D104" i="1" s="1"/>
  <c r="D103" i="1" a="1"/>
  <c r="D103" i="1" s="1"/>
  <c r="D102" i="1" a="1"/>
  <c r="D102" i="1" s="1"/>
  <c r="D101" i="1" a="1"/>
  <c r="D101" i="1" s="1"/>
  <c r="D100" i="1" a="1"/>
  <c r="D100" i="1" s="1"/>
  <c r="D99" i="1" a="1"/>
  <c r="D99" i="1" s="1"/>
  <c r="D98" i="1" a="1"/>
  <c r="D98" i="1" s="1"/>
  <c r="D97" i="1" a="1"/>
  <c r="D97" i="1" s="1"/>
  <c r="D96" i="1" a="1"/>
  <c r="D96" i="1" s="1"/>
  <c r="D95" i="1" a="1"/>
  <c r="D95" i="1" s="1"/>
  <c r="D94" i="1" a="1"/>
  <c r="D94" i="1" s="1"/>
  <c r="D93" i="1" a="1"/>
  <c r="D93" i="1" s="1"/>
  <c r="D92" i="1" a="1"/>
  <c r="D92" i="1" s="1"/>
  <c r="D91" i="1" a="1"/>
  <c r="D91" i="1" s="1"/>
  <c r="D90" i="1" a="1"/>
  <c r="D90" i="1" s="1"/>
  <c r="D89" i="1" a="1"/>
  <c r="D89" i="1" s="1"/>
  <c r="D88" i="1" a="1"/>
  <c r="D88" i="1" s="1"/>
  <c r="D87" i="1" a="1"/>
  <c r="D87" i="1" s="1"/>
  <c r="D86" i="1" a="1"/>
  <c r="D86" i="1" s="1"/>
  <c r="D85" i="1" a="1"/>
  <c r="D85" i="1" s="1"/>
  <c r="D84" i="1" a="1"/>
  <c r="D84" i="1" s="1"/>
  <c r="D83" i="1" a="1"/>
  <c r="D83" i="1" s="1"/>
  <c r="D82" i="1" a="1"/>
  <c r="D82" i="1" s="1"/>
  <c r="D81" i="1" a="1"/>
  <c r="D81" i="1" s="1"/>
  <c r="D80" i="1" a="1"/>
  <c r="D80" i="1" s="1"/>
  <c r="D77" i="1" a="1"/>
  <c r="D77" i="1" s="1"/>
  <c r="D76" i="1" a="1"/>
  <c r="D76" i="1" s="1"/>
  <c r="D75" i="1" a="1"/>
  <c r="D75" i="1" s="1"/>
  <c r="D74" i="1" a="1"/>
  <c r="D74" i="1" s="1"/>
  <c r="D73" i="1" a="1"/>
  <c r="D73" i="1" s="1"/>
  <c r="D72" i="1" a="1"/>
  <c r="D72" i="1" s="1"/>
  <c r="D393" i="1" a="1"/>
  <c r="D393" i="1" s="1"/>
  <c r="D2" i="1" a="1"/>
  <c r="D2" i="1" s="1"/>
  <c r="J64" i="2" a="1"/>
  <c r="J64" i="2" s="1"/>
  <c r="J65" i="2" a="1"/>
  <c r="J65" i="2" s="1"/>
  <c r="J66" i="2" a="1"/>
  <c r="J66" i="2" s="1"/>
  <c r="J67" i="2" a="1"/>
  <c r="J67" i="2" s="1"/>
  <c r="J68" i="2" a="1"/>
  <c r="J68" i="2" s="1"/>
  <c r="J69" i="2" a="1"/>
  <c r="J69" i="2" s="1"/>
  <c r="J62" i="2" a="1"/>
  <c r="J62" i="2" s="1"/>
  <c r="J71" i="2" a="1"/>
  <c r="J71" i="2" s="1"/>
  <c r="J72" i="2" a="1"/>
  <c r="J72" i="2" s="1"/>
  <c r="J56" i="2" a="1"/>
  <c r="J56" i="2" s="1"/>
  <c r="J57" i="2" a="1"/>
  <c r="J57" i="2" s="1"/>
  <c r="J58" i="2" a="1"/>
  <c r="J58" i="2" s="1"/>
  <c r="J59" i="2" a="1"/>
  <c r="J59" i="2" s="1"/>
  <c r="J60" i="2" a="1"/>
  <c r="J60" i="2" s="1"/>
  <c r="J61" i="2" a="1"/>
  <c r="J61" i="2" s="1"/>
  <c r="J70" i="2" a="1"/>
  <c r="J70" i="2" s="1"/>
  <c r="J73" i="2" a="1"/>
  <c r="J73" i="2" s="1"/>
  <c r="J74" i="2" a="1"/>
  <c r="J74" i="2" s="1"/>
  <c r="J75" i="2" a="1"/>
  <c r="J75" i="2" s="1"/>
  <c r="J55" i="2" a="1"/>
  <c r="J55" i="2" s="1"/>
  <c r="J2" i="2" a="1"/>
  <c r="J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178" i="2" a="1"/>
  <c r="J178" i="2" s="1"/>
  <c r="J179" i="2" a="1"/>
  <c r="J179" i="2" s="1"/>
  <c r="J180" i="2" a="1"/>
  <c r="J180" i="2" s="1"/>
  <c r="J181" i="2" a="1"/>
  <c r="J181" i="2" s="1"/>
  <c r="J182" i="2" a="1"/>
  <c r="J182" i="2" s="1"/>
  <c r="J183" i="2" a="1"/>
  <c r="J183" i="2" s="1"/>
  <c r="J169" i="2" a="1"/>
  <c r="J169" i="2" s="1"/>
  <c r="J170" i="2" a="1"/>
  <c r="J170" i="2" s="1"/>
  <c r="J171" i="2" a="1"/>
  <c r="J171" i="2" s="1"/>
  <c r="J172" i="2" a="1"/>
  <c r="J172" i="2" s="1"/>
  <c r="J167" i="2" a="1"/>
  <c r="J167" i="2" s="1"/>
  <c r="J51" i="2" a="1"/>
  <c r="J51" i="2" s="1"/>
  <c r="J52" i="2" a="1"/>
  <c r="J52" i="2" s="1"/>
  <c r="J19" i="2" a="1"/>
  <c r="J19" i="2" s="1"/>
  <c r="J20" i="2" a="1"/>
  <c r="J20" i="2" s="1"/>
  <c r="J21" i="2" a="1"/>
  <c r="J21" i="2" s="1"/>
  <c r="J22" i="2" a="1"/>
  <c r="J22"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3" i="2" a="1"/>
  <c r="J3" i="2" s="1"/>
  <c r="J4" i="2" a="1"/>
  <c r="J4" i="2" s="1"/>
  <c r="J5" i="2" a="1"/>
  <c r="J5" i="2" s="1"/>
  <c r="J165" i="2" a="1"/>
  <c r="J165" i="2" s="1"/>
  <c r="D21" i="1" a="1"/>
  <c r="D21" i="1" s="1"/>
  <c r="D71" i="1" a="1"/>
  <c r="D71" i="1" s="1"/>
  <c r="D153" i="1" a="1"/>
  <c r="D153" i="1" s="1"/>
  <c r="J130" i="2" a="1"/>
  <c r="J130" i="2" s="1"/>
  <c r="J131" i="2" a="1"/>
  <c r="J131" i="2" s="1"/>
  <c r="D444" i="1" a="1"/>
  <c r="D444" i="1" s="1"/>
  <c r="D445" i="1" a="1"/>
  <c r="D445" i="1" s="1"/>
  <c r="D446" i="1" a="1"/>
  <c r="D446" i="1" s="1"/>
  <c r="D447" i="1" a="1"/>
  <c r="D447" i="1" s="1"/>
  <c r="J108" i="2" a="1"/>
  <c r="J108" i="2" s="1"/>
  <c r="J109" i="2" a="1"/>
  <c r="J109" i="2" s="1"/>
  <c r="J110" i="2" a="1"/>
  <c r="J110" i="2" s="1"/>
  <c r="J114" i="2" a="1"/>
  <c r="J114" i="2" s="1"/>
  <c r="J115" i="2" a="1"/>
  <c r="J115" i="2" s="1"/>
  <c r="J116" i="2" a="1"/>
  <c r="J116" i="2" s="1"/>
  <c r="J117" i="2" a="1"/>
  <c r="J117" i="2" s="1"/>
  <c r="J118" i="2" a="1"/>
  <c r="J118" i="2" s="1"/>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2" i="2" a="1"/>
  <c r="J132" i="2" s="1"/>
  <c r="J133" i="2" a="1"/>
  <c r="J133" i="2" s="1"/>
  <c r="J134" i="2" a="1"/>
  <c r="J134" i="2" s="1"/>
  <c r="J135" i="2" a="1"/>
  <c r="J135" i="2" s="1"/>
  <c r="D434" i="1" a="1"/>
  <c r="D434" i="1" s="1"/>
  <c r="D435" i="1" a="1"/>
  <c r="D435" i="1" s="1"/>
  <c r="D436" i="1" a="1"/>
  <c r="D436" i="1" s="1"/>
  <c r="D433" i="1" a="1"/>
  <c r="D433" i="1" s="1"/>
  <c r="D427" i="1" a="1"/>
  <c r="D427" i="1" s="1"/>
  <c r="D428" i="1" a="1"/>
  <c r="D428" i="1" s="1"/>
  <c r="D430" i="1" a="1"/>
  <c r="D430" i="1" s="1"/>
  <c r="D431" i="1" a="1"/>
  <c r="D431" i="1" s="1"/>
  <c r="D420" i="1" a="1"/>
  <c r="D420" i="1" s="1"/>
  <c r="D421" i="1" a="1"/>
  <c r="D421" i="1" s="1"/>
  <c r="D422" i="1" a="1"/>
  <c r="D422" i="1" s="1"/>
  <c r="D423" i="1" a="1"/>
  <c r="D423" i="1" s="1"/>
  <c r="D424" i="1" a="1"/>
  <c r="D424" i="1" s="1"/>
  <c r="D425" i="1" a="1"/>
  <c r="D425" i="1" s="1"/>
  <c r="D432" i="1" a="1"/>
  <c r="D432" i="1" s="1"/>
  <c r="D419" i="1" a="1"/>
  <c r="D419" i="1" s="1"/>
  <c r="D408" i="1" a="1"/>
  <c r="D408" i="1" s="1"/>
  <c r="D409" i="1" a="1"/>
  <c r="D409" i="1" s="1"/>
  <c r="D410" i="1" a="1"/>
  <c r="D410" i="1" s="1"/>
  <c r="D411" i="1" a="1"/>
  <c r="D411" i="1" s="1"/>
  <c r="D412" i="1" a="1"/>
  <c r="D412" i="1" s="1"/>
  <c r="D413" i="1" a="1"/>
  <c r="D413" i="1" s="1"/>
  <c r="J112" i="2" a="1"/>
  <c r="J112" i="2" s="1"/>
  <c r="J113" i="2" a="1"/>
  <c r="J113" i="2" s="1"/>
  <c r="D402" i="1" a="1"/>
  <c r="D402" i="1" s="1"/>
  <c r="D401" i="1" a="1"/>
  <c r="D401"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163" i="1" a="1"/>
  <c r="D163" i="1" s="1"/>
  <c r="D160" i="1" a="1"/>
  <c r="D160" i="1" s="1"/>
  <c r="D161" i="1" a="1"/>
  <c r="D161" i="1" s="1"/>
  <c r="D162" i="1" a="1"/>
  <c r="D162" i="1" s="1"/>
  <c r="D333" i="1" a="1"/>
  <c r="D333" i="1" s="1"/>
  <c r="D332" i="1" a="1"/>
  <c r="D332" i="1" s="1"/>
  <c r="D15" i="1" a="1"/>
  <c r="D15" i="1" s="1"/>
  <c r="D157" i="1" a="1"/>
  <c r="D157" i="1" s="1"/>
  <c r="D158" i="1" a="1"/>
  <c r="D158" i="1" s="1"/>
  <c r="D159" i="1" a="1"/>
  <c r="D159" i="1" s="1"/>
  <c r="D154" i="1" a="1"/>
  <c r="D154" i="1" s="1"/>
  <c r="D155" i="1" a="1"/>
  <c r="D155" i="1" s="1"/>
  <c r="D156" i="1" a="1"/>
  <c r="D156" i="1" s="1"/>
  <c r="D149" i="1" a="1"/>
  <c r="D149" i="1" s="1"/>
  <c r="D150" i="1" a="1"/>
  <c r="D150" i="1" s="1"/>
  <c r="D151" i="1" a="1"/>
  <c r="D151" i="1" s="1"/>
  <c r="D152" i="1" a="1"/>
  <c r="D152" i="1" s="1"/>
  <c r="D145" i="1" a="1"/>
  <c r="D145" i="1" s="1"/>
  <c r="D146" i="1" a="1"/>
  <c r="D146" i="1" s="1"/>
  <c r="D147" i="1" a="1"/>
  <c r="D147" i="1" s="1"/>
  <c r="D148" i="1" a="1"/>
  <c r="D148" i="1" s="1"/>
  <c r="D136" i="1" a="1"/>
  <c r="D136" i="1" s="1"/>
  <c r="D137" i="1" a="1"/>
  <c r="D137" i="1" s="1"/>
  <c r="D138" i="1" a="1"/>
  <c r="D138" i="1" s="1"/>
  <c r="D139" i="1" a="1"/>
  <c r="D139" i="1" s="1"/>
  <c r="D140" i="1" a="1"/>
  <c r="D140" i="1" s="1"/>
  <c r="D141" i="1" a="1"/>
  <c r="D141" i="1" s="1"/>
  <c r="D142" i="1" a="1"/>
  <c r="D142" i="1" s="1"/>
  <c r="D143" i="1" a="1"/>
  <c r="D143" i="1" s="1"/>
  <c r="D144" i="1" a="1"/>
  <c r="D144" i="1" s="1"/>
  <c r="J168" i="2" a="1"/>
  <c r="J168" i="2" s="1"/>
  <c r="J153" i="2" a="1"/>
  <c r="J153" i="2" s="1"/>
  <c r="D465" i="1" a="1"/>
  <c r="D465" i="1" s="1"/>
  <c r="D466" i="1" a="1"/>
  <c r="D466" i="1" s="1"/>
  <c r="D467" i="1" a="1"/>
  <c r="D467" i="1" s="1"/>
  <c r="D468" i="1" a="1"/>
  <c r="D468" i="1" s="1"/>
  <c r="J159" i="2" a="1"/>
  <c r="J159" i="2" s="1"/>
  <c r="J160" i="2" a="1"/>
  <c r="J160" i="2" s="1"/>
  <c r="J161" i="2" a="1"/>
  <c r="J161" i="2" s="1"/>
  <c r="J162" i="2" a="1"/>
  <c r="J162" i="2" s="1"/>
  <c r="J163" i="2" a="1"/>
  <c r="J163" i="2" s="1"/>
  <c r="J164" i="2" a="1"/>
  <c r="J164" i="2" s="1"/>
  <c r="J166" i="2" a="1"/>
  <c r="J166" i="2" s="1"/>
  <c r="J42" i="2" a="1"/>
  <c r="J42" i="2" s="1"/>
  <c r="J101" i="2" a="1"/>
  <c r="J101" i="2" s="1"/>
  <c r="J102" i="2" a="1"/>
  <c r="J102" i="2" s="1"/>
  <c r="J103" i="2" a="1"/>
  <c r="J103" i="2" s="1"/>
  <c r="J104" i="2" a="1"/>
  <c r="J104" i="2" s="1"/>
  <c r="J105" i="2" a="1"/>
  <c r="J105" i="2" s="1"/>
  <c r="J106" i="2" a="1"/>
  <c r="J106" i="2" s="1"/>
  <c r="J107" i="2" a="1"/>
  <c r="J107" i="2" s="1"/>
  <c r="D369" i="1" a="1"/>
  <c r="D369" i="1" s="1"/>
  <c r="D328" i="1" a="1"/>
  <c r="D328" i="1" s="1"/>
  <c r="D344" i="1" a="1"/>
  <c r="D344" i="1" s="1"/>
  <c r="D16" i="1" a="1"/>
  <c r="D16" i="1" s="1"/>
  <c r="J154" i="2" a="1"/>
  <c r="J154" i="2" s="1"/>
  <c r="J155" i="2" a="1"/>
  <c r="J155" i="2" s="1"/>
  <c r="J156" i="2" a="1"/>
  <c r="J156" i="2" s="1"/>
  <c r="J157" i="2" a="1"/>
  <c r="J157" i="2" s="1"/>
  <c r="J158" i="2" a="1"/>
  <c r="J158" i="2" s="1"/>
  <c r="D17" i="1" a="1"/>
  <c r="D17" i="1" s="1"/>
  <c r="D31" i="1" a="1"/>
  <c r="D31" i="1" s="1"/>
  <c r="J139" i="2" a="1"/>
  <c r="J139" i="2" s="1"/>
  <c r="J47" i="2" a="1"/>
  <c r="J47" i="2" s="1"/>
  <c r="J48" i="2" a="1"/>
  <c r="J48" i="2" s="1"/>
  <c r="D279" i="1" a="1"/>
  <c r="D279" i="1" s="1"/>
  <c r="D336" i="1" a="1"/>
  <c r="D336" i="1" s="1"/>
  <c r="D337" i="1" a="1"/>
  <c r="D337" i="1" s="1"/>
  <c r="D331" i="1" a="1"/>
  <c r="D331" i="1" s="1"/>
  <c r="D330" i="1" a="1"/>
  <c r="D330" i="1" s="1"/>
  <c r="J93" i="2" a="1"/>
  <c r="J93" i="2" s="1"/>
  <c r="J94" i="2" a="1"/>
  <c r="J94" i="2" s="1"/>
  <c r="J95" i="2" a="1"/>
  <c r="J95" i="2" s="1"/>
  <c r="J96" i="2" a="1"/>
  <c r="J96" i="2" s="1"/>
  <c r="J97" i="2" a="1"/>
  <c r="J97" i="2" s="1"/>
  <c r="J98" i="2" a="1"/>
  <c r="J98" i="2" s="1"/>
  <c r="J99" i="2" a="1"/>
  <c r="J99" i="2" s="1"/>
  <c r="J100" i="2" a="1"/>
  <c r="J100" i="2" s="1"/>
  <c r="D470" i="1" a="1"/>
  <c r="D470" i="1" s="1"/>
  <c r="D469" i="1" a="1"/>
  <c r="D469" i="1" s="1"/>
  <c r="D6" i="1" a="1"/>
  <c r="D6" i="1" s="1"/>
  <c r="D7" i="1" a="1"/>
  <c r="D7" i="1" s="1"/>
  <c r="D8" i="1" a="1"/>
  <c r="D8" i="1" s="1"/>
  <c r="D9" i="1" a="1"/>
  <c r="D9" i="1" s="1"/>
  <c r="D373" i="1" a="1"/>
  <c r="D373" i="1" s="1"/>
  <c r="D374" i="1" a="1"/>
  <c r="D374" i="1" s="1"/>
  <c r="D375" i="1" a="1"/>
  <c r="D375" i="1" s="1"/>
  <c r="D376" i="1" a="1"/>
  <c r="D376" i="1" s="1"/>
  <c r="D371" i="1" a="1"/>
  <c r="D371" i="1" s="1"/>
  <c r="D372" i="1" a="1"/>
  <c r="D372" i="1" s="1"/>
  <c r="D377" i="1" a="1"/>
  <c r="D377" i="1" s="1"/>
  <c r="J173" i="2" a="1"/>
  <c r="J173" i="2" s="1"/>
  <c r="J174" i="2" a="1"/>
  <c r="J174" i="2" s="1"/>
  <c r="J175" i="2" a="1"/>
  <c r="J175" i="2" s="1"/>
  <c r="J176" i="2" a="1"/>
  <c r="J176" i="2" s="1"/>
  <c r="J177" i="2" a="1"/>
  <c r="J177" i="2" s="1"/>
  <c r="J147" i="2" a="1"/>
  <c r="J147" i="2" s="1"/>
  <c r="J148" i="2" a="1"/>
  <c r="J148" i="2" s="1"/>
  <c r="J149" i="2" a="1"/>
  <c r="J149" i="2" s="1"/>
  <c r="J150" i="2" a="1"/>
  <c r="J150" i="2" s="1"/>
  <c r="J151" i="2" a="1"/>
  <c r="J151" i="2" s="1"/>
  <c r="J152" i="2" a="1"/>
  <c r="J152" i="2" s="1"/>
  <c r="J53" i="2" a="1"/>
  <c r="J53" i="2" s="1"/>
  <c r="J54" i="2" a="1"/>
  <c r="J54" i="2" s="1"/>
  <c r="J76" i="2" a="1"/>
  <c r="J76" i="2" s="1"/>
  <c r="D339" i="1" a="1"/>
  <c r="D339" i="1" s="1"/>
  <c r="D359" i="1" a="1"/>
  <c r="D359" i="1" s="1"/>
  <c r="D360" i="1" a="1"/>
  <c r="D360" i="1" s="1"/>
  <c r="D361" i="1" a="1"/>
  <c r="D361" i="1" s="1"/>
  <c r="D362" i="1" a="1"/>
  <c r="D362" i="1" s="1"/>
  <c r="D363" i="1" a="1"/>
  <c r="D363" i="1" s="1"/>
  <c r="D364" i="1" a="1"/>
  <c r="D364" i="1" s="1"/>
  <c r="D365" i="1" a="1"/>
  <c r="D365" i="1" s="1"/>
  <c r="D366" i="1" a="1"/>
  <c r="D366" i="1" s="1"/>
  <c r="D352" i="1" a="1"/>
  <c r="D352" i="1" s="1"/>
  <c r="D353" i="1" a="1"/>
  <c r="D353" i="1" s="1"/>
  <c r="D354" i="1" a="1"/>
  <c r="D354" i="1" s="1"/>
  <c r="D351" i="1" a="1"/>
  <c r="D351" i="1" s="1"/>
  <c r="D358" i="1" a="1"/>
  <c r="D358" i="1" s="1"/>
  <c r="D368" i="1" a="1"/>
  <c r="D368" i="1" s="1"/>
  <c r="J89" i="2" a="1"/>
  <c r="J89" i="2" s="1"/>
  <c r="J90" i="2" a="1"/>
  <c r="J90" i="2" s="1"/>
  <c r="J91" i="2" a="1"/>
  <c r="J91" i="2" s="1"/>
  <c r="J92" i="2" a="1"/>
  <c r="J92" i="2" s="1"/>
  <c r="D346" i="1" a="1"/>
  <c r="D346" i="1" s="1"/>
  <c r="D347" i="1" a="1"/>
  <c r="D347" i="1" s="1"/>
  <c r="D348" i="1" a="1"/>
  <c r="D348" i="1" s="1"/>
  <c r="D349" i="1" a="1"/>
  <c r="D349" i="1" s="1"/>
  <c r="D20" i="1" a="1"/>
  <c r="D20" i="1" s="1"/>
  <c r="D22" i="1" a="1"/>
  <c r="D22" i="1" s="1"/>
  <c r="D18" i="1" a="1"/>
  <c r="D18" i="1" s="1"/>
  <c r="D19" i="1" a="1"/>
  <c r="D19" i="1" s="1"/>
  <c r="D341" i="1" a="1"/>
  <c r="D341" i="1" s="1"/>
  <c r="D342" i="1" a="1"/>
  <c r="D342" i="1" s="1"/>
  <c r="D343" i="1" a="1"/>
  <c r="D343" i="1" s="1"/>
  <c r="D345" i="1" a="1"/>
  <c r="D345" i="1" s="1"/>
  <c r="D462" i="1" a="1"/>
  <c r="D462" i="1" s="1"/>
  <c r="D463" i="1" a="1"/>
  <c r="D463" i="1" s="1"/>
  <c r="D464" i="1" a="1"/>
  <c r="D464"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327" i="1" a="1"/>
  <c r="D327" i="1" s="1"/>
  <c r="D326" i="1" a="1"/>
  <c r="D326" i="1" s="1"/>
  <c r="D322" i="1" a="1"/>
  <c r="D322" i="1" s="1"/>
  <c r="J146" i="2" a="1"/>
  <c r="J146" i="2" s="1"/>
  <c r="D37" i="1" a="1"/>
  <c r="D37" i="1" s="1"/>
  <c r="D43" i="1" a="1"/>
  <c r="D43" i="1" s="1"/>
  <c r="D44" i="1" a="1"/>
  <c r="D44" i="1" s="1"/>
  <c r="D335" i="1" a="1"/>
  <c r="D335" i="1" s="1"/>
  <c r="D338" i="1" a="1"/>
  <c r="D338" i="1" s="1"/>
  <c r="D323" i="1" a="1"/>
  <c r="D323" i="1" s="1"/>
  <c r="D324" i="1" a="1"/>
  <c r="D324" i="1" s="1"/>
  <c r="D325" i="1" a="1"/>
  <c r="D325" i="1" s="1"/>
  <c r="D40" i="1" a="1"/>
  <c r="D40" i="1" s="1"/>
  <c r="D41" i="1" a="1"/>
  <c r="D41" i="1" s="1"/>
  <c r="D42" i="1" a="1"/>
  <c r="D42" i="1" s="1"/>
  <c r="D39" i="1" a="1"/>
  <c r="D39" i="1" s="1"/>
  <c r="D38" i="1" a="1"/>
  <c r="D38" i="1" s="1"/>
  <c r="D309" i="1" a="1"/>
  <c r="D309" i="1" s="1"/>
  <c r="D308" i="1" a="1"/>
  <c r="D308" i="1" s="1"/>
  <c r="D307" i="1" a="1"/>
  <c r="D307" i="1" s="1"/>
  <c r="D306" i="1" a="1"/>
  <c r="D306" i="1" s="1"/>
  <c r="D301" i="1" a="1"/>
  <c r="D301" i="1" s="1"/>
  <c r="D303" i="1" a="1"/>
  <c r="D303" i="1" s="1"/>
  <c r="D67" i="1" a="1"/>
  <c r="D67" i="1" s="1"/>
  <c r="D68" i="1" a="1"/>
  <c r="D68" i="1" s="1"/>
  <c r="D66" i="1" a="1"/>
  <c r="D66" i="1" s="1"/>
  <c r="D69" i="1" a="1"/>
  <c r="D69" i="1" s="1"/>
  <c r="D36" i="1" a="1"/>
  <c r="D36" i="1" s="1"/>
  <c r="D65" i="1" a="1"/>
  <c r="D65" i="1" s="1"/>
  <c r="D59" i="1" a="1"/>
  <c r="D59" i="1" s="1"/>
  <c r="D60" i="1" a="1"/>
  <c r="D60" i="1" s="1"/>
  <c r="D61" i="1" a="1"/>
  <c r="D61" i="1" s="1"/>
  <c r="D62" i="1" a="1"/>
  <c r="D62" i="1" s="1"/>
  <c r="D63" i="1" a="1"/>
  <c r="D63" i="1" s="1"/>
  <c r="D64" i="1" a="1"/>
  <c r="D64" i="1" s="1"/>
  <c r="D70" i="1" a="1"/>
  <c r="D70" i="1" s="1"/>
  <c r="D355" i="1" a="1"/>
  <c r="D355" i="1" s="1"/>
  <c r="D395" i="1" a="1"/>
  <c r="D395" i="1" s="1"/>
  <c r="D396" i="1" a="1"/>
  <c r="D396" i="1" s="1"/>
  <c r="D397" i="1" a="1"/>
  <c r="D397" i="1" s="1"/>
  <c r="D398" i="1" a="1"/>
  <c r="D398" i="1" s="1"/>
  <c r="D399" i="1" a="1"/>
  <c r="D399" i="1" s="1"/>
  <c r="D400" i="1" a="1"/>
  <c r="D400" i="1" s="1"/>
  <c r="D403" i="1" a="1"/>
  <c r="D403" i="1" s="1"/>
  <c r="D404" i="1" a="1"/>
  <c r="D404" i="1" s="1"/>
  <c r="D405" i="1" a="1"/>
  <c r="D405" i="1" s="1"/>
  <c r="D406" i="1" a="1"/>
  <c r="D406" i="1" s="1"/>
  <c r="D356" i="1" a="1"/>
  <c r="D356" i="1" s="1"/>
  <c r="D357" i="1" a="1"/>
  <c r="D357" i="1" s="1"/>
  <c r="D4" i="1" a="1"/>
  <c r="D4" i="1" s="1"/>
  <c r="D5" i="1" a="1"/>
  <c r="D5" i="1" s="1"/>
  <c r="J111" i="2" a="1"/>
  <c r="J111" i="2" s="1"/>
  <c r="D58" i="1" a="1"/>
  <c r="D58" i="1" s="1"/>
  <c r="J138" i="2" a="1"/>
  <c r="J138" i="2" s="1"/>
  <c r="J137" i="2" a="1"/>
  <c r="J137" i="2" s="1"/>
  <c r="J136" i="2" a="1"/>
  <c r="J136" i="2" s="1"/>
  <c r="J140" i="2" a="1"/>
  <c r="J140" i="2" s="1"/>
  <c r="J145" i="2" a="1"/>
  <c r="J145" i="2" s="1"/>
  <c r="J144" i="2" a="1"/>
  <c r="J144" i="2" s="1"/>
  <c r="J143" i="2" a="1"/>
  <c r="J143" i="2" s="1"/>
  <c r="J142" i="2" a="1"/>
  <c r="J142" i="2" s="1"/>
  <c r="D382" i="1" a="1"/>
  <c r="D382" i="1" s="1"/>
  <c r="J77" i="2" a="1"/>
  <c r="J77" i="2" s="1"/>
  <c r="J50" i="2" a="1"/>
  <c r="J50" i="2" s="1"/>
  <c r="J81" i="2" a="1"/>
  <c r="J81" i="2" s="1"/>
  <c r="D300" i="1" a="1"/>
  <c r="D300" i="1" s="1"/>
  <c r="D316" i="1" a="1"/>
  <c r="D316" i="1" s="1"/>
  <c r="J49" i="2" a="1"/>
  <c r="J49" i="2" s="1"/>
  <c r="J43" i="2" a="1"/>
  <c r="J43" i="2" s="1"/>
  <c r="J44" i="2" a="1"/>
  <c r="J44" i="2" s="1"/>
  <c r="J45" i="2" a="1"/>
  <c r="J45" i="2" s="1"/>
  <c r="J46" i="2" a="1"/>
  <c r="J46" i="2" s="1"/>
  <c r="D57" i="1" a="1"/>
  <c r="D57" i="1" s="1"/>
  <c r="D54" i="1" a="1"/>
  <c r="D54" i="1" s="1"/>
  <c r="D55" i="1" a="1"/>
  <c r="D55" i="1" s="1"/>
  <c r="D56" i="1" a="1"/>
  <c r="D56" i="1" s="1"/>
  <c r="D313" i="1" a="1"/>
  <c r="D313" i="1" s="1"/>
  <c r="D314" i="1" a="1"/>
  <c r="D314" i="1" s="1"/>
  <c r="D311" i="1" a="1"/>
  <c r="D311" i="1" s="1"/>
  <c r="D312" i="1" a="1"/>
  <c r="D312" i="1" s="1"/>
  <c r="D305" i="1" a="1"/>
  <c r="D305" i="1" s="1"/>
  <c r="D310" i="1" a="1"/>
  <c r="D310" i="1" s="1"/>
  <c r="D318" i="1" a="1"/>
  <c r="D318" i="1" s="1"/>
  <c r="D317" i="1" a="1"/>
  <c r="D317" i="1" s="1"/>
  <c r="D320" i="1" a="1"/>
  <c r="D320" i="1" s="1"/>
  <c r="D299" i="1" a="1"/>
  <c r="D299" i="1" s="1"/>
  <c r="D302" i="1" a="1"/>
  <c r="D302" i="1" s="1"/>
  <c r="D304" i="1" a="1"/>
  <c r="D304" i="1" s="1"/>
  <c r="D319" i="1" a="1"/>
  <c r="D319" i="1" s="1"/>
  <c r="D298" i="1" a="1"/>
  <c r="D298" i="1" s="1"/>
  <c r="D297" i="1" a="1"/>
  <c r="D297" i="1" s="1"/>
  <c r="D296" i="1" a="1"/>
  <c r="D296" i="1" s="1"/>
  <c r="D50" i="1" a="1"/>
  <c r="D50" i="1" s="1"/>
  <c r="D51" i="1" a="1"/>
  <c r="D51" i="1" s="1"/>
  <c r="D52" i="1" a="1"/>
  <c r="D52" i="1" s="1"/>
  <c r="D53" i="1" a="1"/>
  <c r="D53" i="1" s="1"/>
  <c r="D46" i="1" a="1"/>
  <c r="D46" i="1" s="1"/>
  <c r="D47" i="1" a="1"/>
  <c r="D47" i="1" s="1"/>
  <c r="D48" i="1" a="1"/>
  <c r="D48" i="1" s="1"/>
  <c r="D49" i="1" a="1"/>
  <c r="D49" i="1" s="1"/>
  <c r="J86" i="2" a="1"/>
  <c r="J86" i="2" s="1"/>
  <c r="J87" i="2" a="1"/>
  <c r="J87" i="2" s="1"/>
  <c r="J85" i="2" a="1"/>
  <c r="J85" i="2" s="1"/>
  <c r="J88" i="2" a="1"/>
  <c r="J88" i="2" s="1"/>
  <c r="J141" i="2" a="1"/>
  <c r="J141" i="2" s="1"/>
  <c r="J78" i="2" a="1"/>
  <c r="J78" i="2" s="1"/>
  <c r="J79" i="2" a="1"/>
  <c r="J79" i="2" s="1"/>
  <c r="J80" i="2" a="1"/>
  <c r="J80" i="2" s="1"/>
  <c r="J82" i="2" a="1"/>
  <c r="J82" i="2" s="1"/>
  <c r="J83" i="2" a="1"/>
  <c r="J83" i="2" s="1"/>
  <c r="J84" i="2" a="1"/>
  <c r="J84" i="2" s="1"/>
  <c r="D35" i="1" a="1"/>
  <c r="D35" i="1" s="1"/>
  <c r="D14" i="1" a="1"/>
  <c r="D14" i="1" s="1"/>
  <c r="D10" i="1" a="1"/>
  <c r="D10" i="1" s="1"/>
  <c r="D11" i="1" a="1"/>
  <c r="D11" i="1" s="1"/>
  <c r="D12" i="1" a="1"/>
  <c r="D12" i="1" s="1"/>
  <c r="D13" i="1" a="1"/>
  <c r="D13" i="1" s="1"/>
  <c r="D294" i="1" a="1"/>
  <c r="D294" i="1" s="1"/>
  <c r="D292" i="1" a="1"/>
  <c r="D292" i="1" s="1"/>
  <c r="D293" i="1" a="1"/>
  <c r="D293" i="1" s="1"/>
  <c r="D291" i="1" a="1"/>
  <c r="D291" i="1" s="1"/>
  <c r="D290" i="1" a="1"/>
  <c r="D290" i="1" s="1"/>
  <c r="D289" i="1" a="1"/>
  <c r="D289" i="1" s="1"/>
  <c r="D288" i="1" a="1"/>
  <c r="D288" i="1" s="1"/>
  <c r="D287" i="1" a="1"/>
  <c r="D287" i="1" s="1"/>
  <c r="D286" i="1" a="1"/>
  <c r="D286" i="1" s="1"/>
  <c r="D285" i="1" a="1"/>
  <c r="D285" i="1" s="1"/>
  <c r="D284" i="1" a="1"/>
  <c r="D284" i="1" s="1"/>
  <c r="D283" i="1" a="1"/>
  <c r="D283" i="1" s="1"/>
  <c r="D282" i="1" a="1"/>
  <c r="D282" i="1" s="1"/>
  <c r="D281" i="1" a="1"/>
  <c r="D281" i="1" s="1"/>
  <c r="D280" i="1" a="1"/>
  <c r="D280" i="1" s="1"/>
  <c r="D34" i="1" a="1"/>
  <c r="D34" i="1" s="1"/>
  <c r="D277" i="1" a="1"/>
  <c r="D277" i="1" s="1"/>
  <c r="D278" i="1" a="1"/>
  <c r="D278" i="1" s="1"/>
  <c r="D3" i="1" a="1"/>
  <c r="D3" i="1" s="1"/>
  <c r="D33" i="1" a="1"/>
  <c r="D33" i="1" s="1"/>
  <c r="D32" i="1" a="1"/>
  <c r="D32" i="1" s="1"/>
  <c r="D29" i="1" a="1"/>
  <c r="D29" i="1" s="1"/>
  <c r="D28" i="1" a="1"/>
  <c r="D28" i="1" s="1"/>
  <c r="D27" i="1" a="1"/>
  <c r="D27" i="1" s="1"/>
  <c r="D26" i="1" a="1"/>
  <c r="D26" i="1" s="1"/>
  <c r="D25" i="1" a="1"/>
  <c r="D25" i="1" s="1"/>
  <c r="D24" i="1" a="1"/>
  <c r="D24" i="1" s="1"/>
  <c r="D23" i="1" a="1"/>
  <c r="D23" i="1" s="1"/>
  <c r="AA298" i="1"/>
  <c r="AA362" i="1"/>
  <c r="AA416" i="1"/>
  <c r="AA290" i="1"/>
  <c r="AA306" i="1"/>
  <c r="AA310" i="1"/>
  <c r="AA343" i="1"/>
  <c r="AA281" i="1"/>
  <c r="AA328" i="1"/>
  <c r="AA414" i="1"/>
  <c r="AA296" i="1"/>
  <c r="AA368" i="1"/>
  <c r="AA294" i="1"/>
  <c r="AA287" i="1"/>
  <c r="AA302" i="1"/>
  <c r="AA390" i="1"/>
  <c r="AA277" i="1"/>
  <c r="AA337" i="1"/>
  <c r="AA423" i="1"/>
  <c r="AA333" i="1"/>
  <c r="AA403" i="1"/>
  <c r="AA304" i="1"/>
  <c r="AA424" i="1"/>
  <c r="AA374" i="1"/>
  <c r="AA444" i="1"/>
  <c r="AA428" i="1"/>
  <c r="AA325" i="1"/>
  <c r="AA351" i="1"/>
  <c r="AA409" i="1"/>
  <c r="AA347" i="1"/>
  <c r="AA401" i="1"/>
  <c r="AA425" i="1"/>
  <c r="AA286" i="1"/>
  <c r="AA388" i="1"/>
  <c r="AA299" i="1"/>
  <c r="AA309" i="1"/>
  <c r="AA293" i="1"/>
  <c r="AA422" i="1"/>
  <c r="AA308" i="1"/>
  <c r="AA442" i="1"/>
  <c r="AA363" i="1"/>
  <c r="AA342" i="1"/>
  <c r="AA330" i="1"/>
  <c r="AA396" i="1"/>
  <c r="AA356" i="1"/>
  <c r="AA338" i="1"/>
  <c r="AA320" i="1"/>
  <c r="AA405" i="1"/>
  <c r="AA429" i="1"/>
  <c r="AA436" i="1"/>
  <c r="AA389" i="1"/>
  <c r="AA377" i="1"/>
  <c r="AA415" i="1"/>
  <c r="AA413" i="1"/>
  <c r="AA366" i="1"/>
  <c r="AA376" i="1"/>
  <c r="AA431" i="1"/>
  <c r="AA349" i="1"/>
  <c r="AA324" i="1"/>
  <c r="AA435" i="1"/>
  <c r="AA406" i="1"/>
  <c r="AA412" i="1"/>
  <c r="AA447" i="1"/>
  <c r="AA360" i="1"/>
  <c r="AA339" i="1"/>
  <c r="AA319" i="1"/>
  <c r="AA357" i="1"/>
  <c r="AA278" i="1"/>
  <c r="AA432" i="1"/>
  <c r="AA441" i="1"/>
  <c r="AA303" i="1"/>
  <c r="AA358" i="1"/>
  <c r="AA282" i="1"/>
  <c r="AA400" i="1"/>
  <c r="AA383" i="1"/>
  <c r="AA332" i="1"/>
  <c r="AA372" i="1"/>
  <c r="AA430" i="1"/>
  <c r="AA352" i="1"/>
  <c r="AA410" i="1"/>
  <c r="AA361" i="1"/>
  <c r="AA392" i="1"/>
  <c r="AA386" i="1"/>
  <c r="AA371" i="1"/>
  <c r="AA323" i="1"/>
  <c r="AA297" i="1"/>
  <c r="AA291" i="1"/>
  <c r="AA418" i="1"/>
  <c r="AA437" i="1"/>
  <c r="AA433" i="1"/>
  <c r="AA443" i="1"/>
  <c r="AA279" i="1"/>
  <c r="AA411" i="1"/>
  <c r="AA408" i="1"/>
  <c r="AA283" i="1"/>
  <c r="AA353" i="1"/>
  <c r="AA439" i="1"/>
  <c r="AA391" i="1"/>
  <c r="AA341" i="1"/>
  <c r="AA344" i="1"/>
  <c r="AA398" i="1"/>
  <c r="AA292" i="1"/>
  <c r="AA404" i="1"/>
  <c r="AA393" i="1"/>
  <c r="AA420" i="1"/>
  <c r="AA355" i="1"/>
  <c r="AA284" i="1"/>
  <c r="AA348" i="1"/>
  <c r="AA397" i="1"/>
  <c r="AA335" i="1"/>
  <c r="AA417" i="1"/>
  <c r="AA327" i="1"/>
  <c r="AA385" i="1"/>
  <c r="AA300" i="1"/>
  <c r="AA364" i="1"/>
  <c r="AA313" i="1"/>
  <c r="AA379" i="1"/>
  <c r="AA285" i="1"/>
  <c r="AA314" i="1"/>
  <c r="AA359" i="1"/>
  <c r="AA365" i="1"/>
  <c r="AA380" i="1"/>
  <c r="AA387" i="1"/>
  <c r="AA373" i="1"/>
  <c r="AA375" i="1"/>
  <c r="AA402" i="1"/>
  <c r="AA382" i="1"/>
  <c r="AA312" i="1"/>
  <c r="AA446" i="1"/>
  <c r="AA426" i="1"/>
  <c r="AA438" i="1"/>
  <c r="AA434" i="1"/>
  <c r="AA289" i="1"/>
  <c r="AA440" i="1"/>
  <c r="AA331" i="1"/>
  <c r="AA318" i="1"/>
  <c r="AA311" i="1"/>
  <c r="AA326" i="1"/>
  <c r="AA336" i="1"/>
  <c r="AA445" i="1"/>
  <c r="AA317" i="1"/>
  <c r="AA427" i="1"/>
  <c r="AA395" i="1"/>
  <c r="AA345" i="1"/>
  <c r="AA421" i="1"/>
  <c r="AA307" i="1"/>
  <c r="AA316" i="1"/>
  <c r="AA301" i="1"/>
  <c r="AA346" i="1"/>
  <c r="AA280" i="1"/>
  <c r="AA399" i="1"/>
  <c r="AA288" i="1"/>
  <c r="AA322" i="1"/>
  <c r="AA305" i="1"/>
  <c r="AA354" i="1"/>
  <c r="AA3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Schopper, Daniel</author>
  </authors>
  <commentList>
    <comment ref="D1" authorId="0" shapeId="0" xr:uid="{02E8568C-9E15-44F3-BF49-5F00800005F0}">
      <text>
        <r>
          <rPr>
            <sz val="11"/>
            <color theme="1"/>
            <rFont val="Calibri"/>
            <family val="2"/>
            <scheme val="minor"/>
          </rPr>
          <t>This column is not intended to be edited directly.
In order to associate one or more speakers to a record, add lines refer to the table /Speakers_in_Recordings/</t>
        </r>
      </text>
    </comment>
    <comment ref="E1" authorId="0" shapeId="0" xr:uid="{36A0BB12-A8A7-41C8-B8A1-7279671EDD27}">
      <text>
        <r>
          <rPr>
            <sz val="11"/>
            <color theme="1"/>
            <rFont val="Calibri"/>
            <family val="2"/>
            <scheme val="minor"/>
          </rPr>
          <t>This column is not intended to be edited directly.
In order to associate one or more speakers to a record, please refer to the table /Speakers_in_Recordings/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Schopper, Daniel</author>
  </authors>
  <commentList>
    <comment ref="C1" authorId="0" shapeId="0" xr:uid="{00000000-0006-0000-0200-000001000000}">
      <text>
        <r>
          <rPr>
            <sz val="11"/>
            <color theme="1"/>
            <rFont val="Calibri"/>
            <family val="2"/>
            <scheme val="minor"/>
          </rPr>
          <t>Schopper, Daniel:
One of M, F or D</t>
        </r>
      </text>
    </comment>
    <comment ref="G1" authorId="0" shapeId="0" xr:uid="{00000000-0006-0000-0200-000002000000}">
      <text>
        <r>
          <rPr>
            <sz val="11"/>
            <color theme="1"/>
            <rFont val="Calibri"/>
            <family val="2"/>
            <scheme val="minor"/>
          </rPr>
          <t>Schopper, Daniel:
Language names in English, seperated by comma in case there's more than one</t>
        </r>
      </text>
    </comment>
    <comment ref="J1" authorId="0" shapeId="0" xr:uid="{00000000-0006-0000-0200-000003000000}">
      <text>
        <r>
          <rPr>
            <sz val="11"/>
            <color theme="1"/>
            <rFont val="Calibri"/>
            <family val="2"/>
            <scheme val="minor"/>
          </rPr>
          <t>Schopper, Daniel:
These values are picked up from the table "Speakers_in_Recordings"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435652-0A0E-4B70-B72A-2EDC82B98521}"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2" xr16:uid="{090CFA6B-6011-4E52-898B-EF0AF671439B}" keepAlive="1" name="Query - Persons from Wibarab DMP" description="Connection to the 'Persons from Wibarab DMP' query in the workbook." type="5" refreshedVersion="8" background="1" saveData="1">
    <dbPr connection="Provider=Microsoft.Mashup.OleDb.1;Data Source=$Workbook$;Location=&quot;Persons from Wibarab DMP&quot;;Extended Properties=&quot;&quot;" command="SELECT * FROM [Persons from Wibarab DMP]"/>
  </connection>
  <connection id="3" xr16:uid="{00000000-0015-0000-FFFF-FFFF00000000}" keepAlive="1" name="Query - place" description="Connection to the 'place' query in the workbook." type="5" refreshedVersion="8" background="1" saveData="1">
    <dbPr connection="Provider=Microsoft.Mashup.OleDb.1;Data Source=$Workbook$;Location=place;Extended Properties=&quot;&quot;" command="SELECT * FROM [plac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<sst xmlns="http://schemas.openxmlformats.org/spreadsheetml/2006/main" count="12964" uniqueCount="4037">
  <si>
    <t>Text</t>
  </si>
  <si>
    <t>Next</t>
  </si>
  <si>
    <t>Campaign</t>
  </si>
  <si>
    <t>Speaker</t>
  </si>
  <si>
    <t>Subject</t>
  </si>
  <si>
    <t>Date</t>
  </si>
  <si>
    <t>Length</t>
  </si>
  <si>
    <t>Status_Final</t>
  </si>
  <si>
    <t>Access_audio</t>
  </si>
  <si>
    <t>Access_transcription</t>
  </si>
  <si>
    <t>Transcription_progress</t>
  </si>
  <si>
    <t>Status</t>
  </si>
  <si>
    <t>Rec. person</t>
  </si>
  <si>
    <t>transcribed by</t>
  </si>
  <si>
    <t>transcription checked by</t>
  </si>
  <si>
    <t>transcription checked by2</t>
  </si>
  <si>
    <t>translated by</t>
  </si>
  <si>
    <t>translation checked by</t>
  </si>
  <si>
    <t>glossed by</t>
  </si>
  <si>
    <t>glossing checked by</t>
  </si>
  <si>
    <t>Place</t>
  </si>
  <si>
    <t>Original Recording file</t>
  </si>
  <si>
    <t>Transcribed Audio-file</t>
  </si>
  <si>
    <t>Internal Procedural Notes</t>
  </si>
  <si>
    <t>Document Type</t>
  </si>
  <si>
    <t>Trigger_Warning</t>
  </si>
  <si>
    <t>Title</t>
  </si>
  <si>
    <t>SAU_2022_Speaker10_marriage_1</t>
  </si>
  <si>
    <t>SAU_2022_Speaker10_marriage_2</t>
  </si>
  <si>
    <t>Saudi Arabia Fieldwork Campaign Gunda Kinzl 2022</t>
  </si>
  <si>
    <t>01:08</t>
  </si>
  <si>
    <t>audio_transcription</t>
  </si>
  <si>
    <t>restricted</t>
  </si>
  <si>
    <t>work in progress</t>
  </si>
  <si>
    <t>transcribed</t>
  </si>
  <si>
    <t>Gunda Kinzl</t>
  </si>
  <si>
    <t>Maria Rebecca Zarb</t>
  </si>
  <si>
    <t>Ha'il</t>
  </si>
  <si>
    <t>IMPORTANT: Speaker was ensured that the audio will only be used by the project, therefore it cannot be made public!!!</t>
  </si>
  <si>
    <t>Free Speech</t>
  </si>
  <si>
    <t>Saudi Arabia 2022 – Speaker 10 – Marriage (Part 1)</t>
  </si>
  <si>
    <t>17:50</t>
  </si>
  <si>
    <t>note for rebecca: purple means the transcription will be changed to public once corrected, red means it will stay restricted even when corrected due to sensitive info</t>
  </si>
  <si>
    <t>Saudi Arabia 2022 – Speaker 10 – Marriage (Part 2)</t>
  </si>
  <si>
    <t>SAU_2022_Speaker20_traditionaltools</t>
  </si>
  <si>
    <t>10:36</t>
  </si>
  <si>
    <t>public</t>
  </si>
  <si>
    <t>Saudi Arabia 2022 – Speaker 20 – Traditional Tools</t>
  </si>
  <si>
    <t>SAU_2022_Speaker20_shepherd</t>
  </si>
  <si>
    <t>05:30</t>
  </si>
  <si>
    <t>Saudi Arabia 2022 – Speaker 20 – Shepherd</t>
  </si>
  <si>
    <t>SAU_2022_Speaker20_traditionalaccessories</t>
  </si>
  <si>
    <t>03:55</t>
  </si>
  <si>
    <t>Saudi Arabia 2022 – Speaker 20 – Traditional Accessories</t>
  </si>
  <si>
    <t>SAU_2022_Speaker20_traditionalkitchen</t>
  </si>
  <si>
    <t>01:50</t>
  </si>
  <si>
    <t>Saudi Arabia 2022 – Speaker 20 – Traditional Kitchen</t>
  </si>
  <si>
    <t>SAU_2022_Speaker20_moretraditionalthings</t>
  </si>
  <si>
    <t>03:30</t>
  </si>
  <si>
    <t>Saudi Arabia 2022 – Speaker 20 – More Traditional Items</t>
  </si>
  <si>
    <t>SAU_2022_Speaker14_childhood_womenswork</t>
  </si>
  <si>
    <t>06:46</t>
  </si>
  <si>
    <t>Khaybar</t>
  </si>
  <si>
    <t>Saudi Arabia 2022 – Speaker 14 – Childhood; Women’s Work</t>
  </si>
  <si>
    <t>KUW_2022_Speaker8_neighbourhood</t>
  </si>
  <si>
    <t>KUW_2022_Speaker8_education</t>
  </si>
  <si>
    <t>Kuwait Fieldwork Campaign Gunda Kinzl 2022</t>
  </si>
  <si>
    <t>04:58</t>
  </si>
  <si>
    <t>Kuwait City</t>
  </si>
  <si>
    <t>I have to see which I want to use for my thesis from this speaker</t>
  </si>
  <si>
    <t>Kuwait 2022 – Speaker 8 – Neighbourhood</t>
  </si>
  <si>
    <t>KUW_2022_Speaker8_family</t>
  </si>
  <si>
    <t>01:03</t>
  </si>
  <si>
    <t>Kuwait 2022 – Speaker 8 – Education</t>
  </si>
  <si>
    <t>KUW_2022_Speaker8_wedding</t>
  </si>
  <si>
    <t>03:03</t>
  </si>
  <si>
    <t>Kuwait 2022 – Speaker 8 – Family</t>
  </si>
  <si>
    <t>KUW_2022_Speaker8_lifedevelopments_cooking</t>
  </si>
  <si>
    <t>09:52</t>
  </si>
  <si>
    <t>Kuwait 2022 – Speaker 8 – Wedding</t>
  </si>
  <si>
    <t>06:54</t>
  </si>
  <si>
    <t>Kuwait 2022 – Speaker 8 – Life Developments; Cooking</t>
  </si>
  <si>
    <t>KUW_2022_Speaker8_war_goodandbadexperiences_differenceswithinrashayda</t>
  </si>
  <si>
    <t>08:50</t>
  </si>
  <si>
    <t>Kuwait 2022 – Speaker 8 – War: Good/Bad Experiences; Differences within Rashayda</t>
  </si>
  <si>
    <t>KUW_2022_Speaker8_Elicitations_PictureStories</t>
  </si>
  <si>
    <t>05:15</t>
  </si>
  <si>
    <t>Elicitation</t>
  </si>
  <si>
    <t>Kuwait 2022 – Speaker 8 – Elicitation: Picture Stories</t>
  </si>
  <si>
    <t>KUW_2022_Speaker8_Elicitations_TopologicalRelations</t>
  </si>
  <si>
    <t>09:15</t>
  </si>
  <si>
    <t>Kuwait 2022 – Speaker 8 – Elicitation: Topological Relations</t>
  </si>
  <si>
    <t>KUW_2022_Speaker8_Elicitations_PictureStories_2</t>
  </si>
  <si>
    <t>05:00</t>
  </si>
  <si>
    <t>Kuwait 2022 – Speaker 8 – Elicitation: Picture Stories (Part 2)</t>
  </si>
  <si>
    <t>KUW_2022_Speaker8_coffeetraditions</t>
  </si>
  <si>
    <t>02:30</t>
  </si>
  <si>
    <t>Kuwait 2022 – Speaker 8 – Coffee Traditions</t>
  </si>
  <si>
    <t>KUW_2022_Speaker8_cooking</t>
  </si>
  <si>
    <t>00:30</t>
  </si>
  <si>
    <t>Kuwait 2022 – Speaker 8 – Cooking</t>
  </si>
  <si>
    <t>KUW_2022_Speaker8_traditionalmarket_recipe</t>
  </si>
  <si>
    <t>Kuwait 2022 – Speaker 8 – Traditional Market; Recipe</t>
  </si>
  <si>
    <t>SAU_2022_Speaker14_houses_education</t>
  </si>
  <si>
    <t>SAU_2022_Speaker14_education_2</t>
  </si>
  <si>
    <t>09:58</t>
  </si>
  <si>
    <t>This is the first recording of this session</t>
  </si>
  <si>
    <t>Saudi Arabia 2022 – Speaker 14 – Houses; Education</t>
  </si>
  <si>
    <t>04:38</t>
  </si>
  <si>
    <t>This is continuing with SAU_2022_Speaker14_houses_education</t>
  </si>
  <si>
    <t>Saudi Arabia 2022 – Speaker 14 – Education (Part 2)</t>
  </si>
  <si>
    <t>SAU_2022_Speaker14_childhood</t>
  </si>
  <si>
    <t>04:00</t>
  </si>
  <si>
    <t>Saudi Arabia 2022 – Speaker 14 – Childhood</t>
  </si>
  <si>
    <t>SAU_2022_Speaker14_weddings_2</t>
  </si>
  <si>
    <t>0:49</t>
  </si>
  <si>
    <t>Saudi Arabia 2022 – Speaker 14 – Weddings (Part 2)</t>
  </si>
  <si>
    <t>SAU_2022_Speaker14_weddings_1</t>
  </si>
  <si>
    <t xml:space="preserve">Actually is a continuation of SAU_2022_Speaker14_education_girls_3_driving, but it is such a change in topic that it does not need to follow it. </t>
  </si>
  <si>
    <t>Saudi Arabia 2022 – Speaker 14 – Weddings (Part 1)</t>
  </si>
  <si>
    <t>KUW_2022_Speaker12_childhood_1</t>
  </si>
  <si>
    <t>KUW_2022_Speaker12_childhood_2</t>
  </si>
  <si>
    <t>01:13</t>
  </si>
  <si>
    <t>Kuwait 2022 – Speaker 12 – Childhood (Part 1)</t>
  </si>
  <si>
    <t>KUW_2022_Speaker12_childhood_3</t>
  </si>
  <si>
    <t>Kuwait 2022 – Speaker 12 – Childhood (Part 2)</t>
  </si>
  <si>
    <t>Kuwait 2022 – Speaker 12 – Childhood (Part 3)</t>
  </si>
  <si>
    <t>KUW_2022_Speaker12_childhood_4</t>
  </si>
  <si>
    <t>02:20</t>
  </si>
  <si>
    <t>Kuwait 2022 – Speaker 12 – Childhood (Part 4)</t>
  </si>
  <si>
    <t>KUW_2022_Speaker12_childhood_5</t>
  </si>
  <si>
    <t>02:26</t>
  </si>
  <si>
    <t>Kuwait 2022 – Speaker 12 – Childhood (Part 5)</t>
  </si>
  <si>
    <t>SAU_2022_Speaker14_education_girls_1</t>
  </si>
  <si>
    <t>SAU_2022_Speaker14_education_girls_2</t>
  </si>
  <si>
    <t>06:12</t>
  </si>
  <si>
    <t>Saudi Arabia 2022 – Speaker 14 – Education (Girls) (Part 1)</t>
  </si>
  <si>
    <t>SAU_2022_Speaker14_education_girls_3_driving</t>
  </si>
  <si>
    <t>08:25</t>
  </si>
  <si>
    <t>Saudi Arabia 2022 – Speaker 14 – Education (Girls) (Part 2)</t>
  </si>
  <si>
    <t>05:32</t>
  </si>
  <si>
    <t>Saudi Arabia 2022 – Speaker 14 – Education (Girls) (Part 3); Driving</t>
  </si>
  <si>
    <t>SAU_2022_Speaker19_market</t>
  </si>
  <si>
    <t>01:47</t>
  </si>
  <si>
    <t>Saudi Arabia 2022 – Speaker 19 – Market</t>
  </si>
  <si>
    <t>SAU_2022_Speaker47_games_pets</t>
  </si>
  <si>
    <t>06:45</t>
  </si>
  <si>
    <t>Saudi Arabia 2022 – Speaker 47 – Games and Pets</t>
  </si>
  <si>
    <t>SAU_2022_Speaker37_childhood</t>
  </si>
  <si>
    <t>SAU_2022_Speaker37_childhood2_marriage</t>
  </si>
  <si>
    <t>07:30</t>
  </si>
  <si>
    <t>Saudi Arabia 2022 – Speaker 37 – Childhood</t>
  </si>
  <si>
    <t>Saudi Arabia 2022 – Speaker 37 – Childhood (2); Marriage</t>
  </si>
  <si>
    <t>SAU_2022_Speaker37_camel</t>
  </si>
  <si>
    <t>02:57</t>
  </si>
  <si>
    <t>Saudi Arabia 2022 – Speaker 37 – Camel</t>
  </si>
  <si>
    <t>SAU_2022_Speaker37_food_3eyb_haram</t>
  </si>
  <si>
    <t>SAU_2022_3eyb_haram_2</t>
  </si>
  <si>
    <t>02:47</t>
  </si>
  <si>
    <t>Saudi Arabia 2022 – Speaker 37 – Food; Ayb and Haram</t>
  </si>
  <si>
    <t>SAU_2022_Speaker37_3eyb_haram_2</t>
  </si>
  <si>
    <t>03:20</t>
  </si>
  <si>
    <t>Saudi Arabia 2022 – Speaker 37 – Ayb and Haram (Part 2)</t>
  </si>
  <si>
    <t>SAU_2022_Speaker37_henna</t>
  </si>
  <si>
    <t>01:25</t>
  </si>
  <si>
    <t>Saudi Arabia 2022 – Speaker 37 – Henna</t>
  </si>
  <si>
    <t>SAU_2022_Speaker14_Weaving_1</t>
  </si>
  <si>
    <t>Saudi Arabia 2022 – Speaker 14 – Weaving (Part 1)</t>
  </si>
  <si>
    <t>SAU_2022_Speaker14_Weaving_weddings</t>
  </si>
  <si>
    <t>04:14</t>
  </si>
  <si>
    <t>Saudi Arabia 2022 – Speaker 14 – Weaving; Weddings</t>
  </si>
  <si>
    <t>KUW_2022_Speaker10_Questionnaire_1</t>
  </si>
  <si>
    <t>KUW_2022_Speaker10_Questionnaire_2</t>
  </si>
  <si>
    <t>WIBARAB Questionnaire</t>
  </si>
  <si>
    <t>Kuwait 2022 – Speaker 10 – Questionnaire (Part 1)</t>
  </si>
  <si>
    <t>KUW_2022_Speaker10_Questionnaire_3</t>
  </si>
  <si>
    <t>Kuwait 2022 – Speaker 10 – Questionnaire (Part 2)</t>
  </si>
  <si>
    <t>KUW_2022_Speaker10_Questionnaire_5</t>
  </si>
  <si>
    <t>Kuwait 2022 – Speaker 10 – Questionnaire (Part 3)</t>
  </si>
  <si>
    <t>Kuwait 2022 – Speaker 10 – Questionnaire (Part 5)</t>
  </si>
  <si>
    <t>Questionnaire_KUW_2022_Speaker3_Speaker6_Speaker11_1</t>
  </si>
  <si>
    <t>Questionnaire_KUW_2022_Speaker3_Speaker6_1</t>
  </si>
  <si>
    <t>40:10</t>
  </si>
  <si>
    <t>Kuwait 2022 – Questionnaire – Speakers 3, 6 and 11 (Part 1)</t>
  </si>
  <si>
    <t>Questionnaire_KUW_2022_Speaker3_Speaker6_2</t>
  </si>
  <si>
    <t>00:59</t>
  </si>
  <si>
    <t>Kuwait 2022 – Questionnaire – Speakers 3 and 6 (Part 1)</t>
  </si>
  <si>
    <t>Questionnaire_KUW_2022_Speaker3_Speaker6_3</t>
  </si>
  <si>
    <t>00:24</t>
  </si>
  <si>
    <t>Kuwait 2022 – Questionnaire – Speakers 3 and 6 (Part 2)</t>
  </si>
  <si>
    <t>Questionnaire_KUW_2022_Speaker3_Speaker6_4</t>
  </si>
  <si>
    <t>08:24</t>
  </si>
  <si>
    <t>Kuwait 2022 – Questionnaire – Speakers 3 and 6 (Part 3)</t>
  </si>
  <si>
    <t>Questionnaire_KUW_2022_Speaker6_alone_1</t>
  </si>
  <si>
    <t>02:40</t>
  </si>
  <si>
    <t>Kuwait 2022 – Questionnaire – Speakers 3 and 6 (Part 4)</t>
  </si>
  <si>
    <t>Questionnaire_KUW_2022_Speaker3_alone_1</t>
  </si>
  <si>
    <t>05:25</t>
  </si>
  <si>
    <t>Kuwait 2022 – Questionnaire – Speaker 6 (Alone) (Part 1)</t>
  </si>
  <si>
    <t>Questionnaire_KUW_2022_Speaker11_alone_1</t>
  </si>
  <si>
    <t>07:00</t>
  </si>
  <si>
    <t>Kuwait 2022 – Questionnaire – Speaker 3 (Alone) (Part 1)</t>
  </si>
  <si>
    <t>Questionnaire_KUW_2022_Speaker11_alone_2</t>
  </si>
  <si>
    <t>10:15</t>
  </si>
  <si>
    <t>Kuwait 2022 – Questionnaire – Speaker 11 (Alone) (Part 1)</t>
  </si>
  <si>
    <t>04:29</t>
  </si>
  <si>
    <t>Kuwait 2022 – Questionnaire – Speaker 11 (Alone) (Part 2)</t>
  </si>
  <si>
    <t>KUW_2022_Speaker13_ConversationXrenig_1_1</t>
  </si>
  <si>
    <t>KUW_2022_Speaker13_ConversationXrenig_1_2_childhood_slaves</t>
  </si>
  <si>
    <t>07:10</t>
  </si>
  <si>
    <t>Kuwait 2022 – Speaker 13 – Conversation (Xrenig) 1.1</t>
  </si>
  <si>
    <t>KUW_2022_Speaker13_ConversationXrenig_1_3_slaves_2</t>
  </si>
  <si>
    <t>06:15</t>
  </si>
  <si>
    <t>Kuwait 2022 – Speaker 13 – Conversation (Xrenig) 1.2 – Childhood; Slaves</t>
  </si>
  <si>
    <t>KUW_2022_Speaker13_ConversationXrenig_1_4_littleboy_nopublish</t>
  </si>
  <si>
    <t>00:44</t>
  </si>
  <si>
    <t>Kuwait 2022 – Speaker 13 – Conversation (Xrenig) 1.3 – Slaves (Part 2)</t>
  </si>
  <si>
    <t>KUW_2022_Speaker13_ConversationXrenig_1_5_xrenig_weddingtraditions</t>
  </si>
  <si>
    <t>KUW_2022_Speaker13_ConversationXrenig_1_6_racism_dialects</t>
  </si>
  <si>
    <t>Kuwait 2022 – Speaker 13 – Conversation (Xrenig) 1.5 – Wedding Traditions</t>
  </si>
  <si>
    <t>KUW_2022_Speaker13_ConversationXrenig_1_7_mothers_secretlanguage</t>
  </si>
  <si>
    <t>07:21</t>
  </si>
  <si>
    <t>Kuwait 2022 – Speaker 13 – Conversation (Xrenig) 1.6 – Racism; Dialects</t>
  </si>
  <si>
    <t>KUW_2022_Speaker13_ConversationXrenig_1_8_henna</t>
  </si>
  <si>
    <t>10:10</t>
  </si>
  <si>
    <t>Kuwait 2022 – Speaker 13 – Conversation (Xrenig) 1.7 – Mother’s Secret Language</t>
  </si>
  <si>
    <t>04:44</t>
  </si>
  <si>
    <t>Kuwait 2022 – Speaker 13 – Conversation (Xrenig) 1.8 – Henna</t>
  </si>
  <si>
    <t>KUW_2022_Speaker13_ConversationXrenig_1_9_abaaya_henna_2</t>
  </si>
  <si>
    <t>03:29</t>
  </si>
  <si>
    <t>Kuwait 2022 – Speaker 13 – Conversation (Xrenig) 1.9 – Abaya; Henna (Part 2)</t>
  </si>
  <si>
    <t>KUW_2022_Speaker13_ConversationXrenig_1_10_disagreementbetweenmotheranddaughter</t>
  </si>
  <si>
    <t>06:25</t>
  </si>
  <si>
    <t>Kuwait 2022 – Speaker 13 – Conversation (Xrenig) 1.10 – Disagreement Between Mother and Daughter</t>
  </si>
  <si>
    <t>KUW_2022_Speaker13_ConversationXrenig_1_11_predictingpregnancies</t>
  </si>
  <si>
    <t>03:00</t>
  </si>
  <si>
    <t>Kuwait 2022 – Speaker 13 – Conversation (Xrenig) 1.11 – Predicting Pregnancies</t>
  </si>
  <si>
    <t>KUW_2022_Speaker13_ConversationXrenig_1_12_childbirthprep</t>
  </si>
  <si>
    <t>08:20</t>
  </si>
  <si>
    <t>Kuwait 2022 – Speaker 13 – Conversation (Xrenig) 1.12 – Childbirth Preparation</t>
  </si>
  <si>
    <t>KUW_2022_Speaker13_ConversationXrenig_1_13_weddings_dialects</t>
  </si>
  <si>
    <t>02:48</t>
  </si>
  <si>
    <t>Kuwait 2022 – Speaker 13 – Conversation (Xrenig) 1.13 – Weddings; Dialects</t>
  </si>
  <si>
    <t>KUW_2022_Speaker13_ConversationXrenig_2</t>
  </si>
  <si>
    <t>17:39</t>
  </si>
  <si>
    <t>Kuwait 2022 – Speaker 13 – Conversation (Xrenig) 2</t>
  </si>
  <si>
    <t>KUW_2022_Speaker4_TopologicalRelations</t>
  </si>
  <si>
    <t>17:41</t>
  </si>
  <si>
    <t>Kuwait 2022 – Speaker 4 – Topological Relations</t>
  </si>
  <si>
    <t>SAU_2022_Speaker28_conversation_Oldman_1</t>
  </si>
  <si>
    <t>SAU_2022_Speaker28_conversaton_Oldman_2</t>
  </si>
  <si>
    <t>4:33</t>
  </si>
  <si>
    <t>Saudi Arabia 2022 – Speaker 28 – Conversation with Old Man (Part 1)</t>
  </si>
  <si>
    <t>SAU_2022_Speaker28_conversation_Oldman_2</t>
  </si>
  <si>
    <t>SAU_2022_Speaker28_conversaton_Oldman_3</t>
  </si>
  <si>
    <t>5:22</t>
  </si>
  <si>
    <t>Saudi Arabia 2022 – Speaker 28 – Conversation with Old Man (Part 2)</t>
  </si>
  <si>
    <t>SAU_2022_Speaker28_conversation_Oldman_3</t>
  </si>
  <si>
    <t>SAU_2022_Speaker28_conversaton_Oldman_4</t>
  </si>
  <si>
    <t>2:43</t>
  </si>
  <si>
    <t>Saudi Arabia 2022 – Speaker 28 – Conversation with Old Man (Part 3)</t>
  </si>
  <si>
    <t>SAU_2022_Speaker28_conversation_Oldman_4</t>
  </si>
  <si>
    <t>SAU_2022_Speaker28_conversaton_Oldman_5</t>
  </si>
  <si>
    <t>5:50</t>
  </si>
  <si>
    <t>Saudi Arabia 2022 – Speaker 28 – Conversation with Old Man (Part 4)</t>
  </si>
  <si>
    <t>SAU_2022_Speaker28_conversation_Oldman_5</t>
  </si>
  <si>
    <t>2:28</t>
  </si>
  <si>
    <t>Saudi Arabia 2022 – Speaker 28 – Conversation with Old Man (Part 5)</t>
  </si>
  <si>
    <t>SAU_2022_Speaker44_falcons_1</t>
  </si>
  <si>
    <t>SAU_2022_Speaker44_falcons_2</t>
  </si>
  <si>
    <t>23:32</t>
  </si>
  <si>
    <t>10:51</t>
  </si>
  <si>
    <t>KUW_2022_Speaker10_6</t>
  </si>
  <si>
    <t>04:59</t>
  </si>
  <si>
    <t>audio</t>
  </si>
  <si>
    <t>Kuwait 2022 – Speaker 10 – Session 6</t>
  </si>
  <si>
    <t>KUW_2022_Speaker10_7</t>
  </si>
  <si>
    <t>04:51</t>
  </si>
  <si>
    <t>Kuwait 2022 – Speaker 10 – Session 7</t>
  </si>
  <si>
    <t>KUW_2022_Speaker4_picturestories</t>
  </si>
  <si>
    <t>05:21</t>
  </si>
  <si>
    <t>Kuwait 2022 – Speaker 4 – Picture Stories</t>
  </si>
  <si>
    <t>KUW_2022_Speaker9_interview</t>
  </si>
  <si>
    <t>44:49</t>
  </si>
  <si>
    <t>Kuwait 2022 – Speaker 9 – Interview</t>
  </si>
  <si>
    <t>KUW_2022_Speaker12_childhood_full</t>
  </si>
  <si>
    <t>53:07</t>
  </si>
  <si>
    <t>Kuwait 2022 – Speaker 12 – Childhood (Full)</t>
  </si>
  <si>
    <t>SAU_2022_Speaker22_narrative_historyofBaniKhaled</t>
  </si>
  <si>
    <t>Ha'il Region</t>
  </si>
  <si>
    <t>Saudi Arabia 2022 – Speaker 22 – Narrative: History of Bani Khaled</t>
  </si>
  <si>
    <t>SAU_2022_Speaker22_rashaydasudan</t>
  </si>
  <si>
    <t>Saudi Arabia 2022 – Speaker 22 – Rashayda in Sudan</t>
  </si>
  <si>
    <t>SAU_2022_Speaker22_informationaboutpoets</t>
  </si>
  <si>
    <t>47:36</t>
  </si>
  <si>
    <t>Saudi Arabia 2022 – Speaker 22 – Information about Poets</t>
  </si>
  <si>
    <t>SAU_2022_Speaker22_prophetSaleh</t>
  </si>
  <si>
    <t>18:39</t>
  </si>
  <si>
    <t>Saudi Arabia 2022 – Speaker 22 – Prophet Saleh</t>
  </si>
  <si>
    <t>SAU_2022_Speaker46_history</t>
  </si>
  <si>
    <t>19:03</t>
  </si>
  <si>
    <t>Saudi Arabia 2022 – Speaker 46 – History</t>
  </si>
  <si>
    <t>SAU_2022_Speaker9_qasida</t>
  </si>
  <si>
    <t>05:16</t>
  </si>
  <si>
    <t>Saudi Arabia 2022 – Speaker 9 – Qasida</t>
  </si>
  <si>
    <t>SAU_2022_Speaker12_poem</t>
  </si>
  <si>
    <t>02:25</t>
  </si>
  <si>
    <t>Saudi Arabia 2022 – Speaker 12 – Poem</t>
  </si>
  <si>
    <t>SAU_2022_Speaker12_praise</t>
  </si>
  <si>
    <t>04:03</t>
  </si>
  <si>
    <t>Saudi Arabia 2022 – Speaker 12 – Praise</t>
  </si>
  <si>
    <t>SAU_2022_Speaker12_song</t>
  </si>
  <si>
    <t>05:12</t>
  </si>
  <si>
    <t>Saudi Arabia 2022 – Speaker 12 – Song</t>
  </si>
  <si>
    <t>SAU_2022_Speaker6_conversation_dialect</t>
  </si>
  <si>
    <t>35:55</t>
  </si>
  <si>
    <t>Saudi Arabia 2022 – Speaker 6 – Conversation; Dialect</t>
  </si>
  <si>
    <t>SAU_2022_Speaker42_qasida</t>
  </si>
  <si>
    <t>02:31</t>
  </si>
  <si>
    <t>Saudi Arabia 2022 – Speaker 42 – Qasida</t>
  </si>
  <si>
    <t>SAU_2022_Speaker8_conversationWomen_1</t>
  </si>
  <si>
    <t>1:36:14</t>
  </si>
  <si>
    <t>Saudi Arabia 2022 – Speaker 8 – Conversation (Women) (Part 1)</t>
  </si>
  <si>
    <t>SAU_2022_Speaker8_conversationWomen_2</t>
  </si>
  <si>
    <t>16.33</t>
  </si>
  <si>
    <t>Saudi Arabia 2022 – Speaker 8 – Conversation (Women) (Part 2)</t>
  </si>
  <si>
    <t>SAU_2022_Speaker8_conversationWomen_3</t>
  </si>
  <si>
    <t>28:35</t>
  </si>
  <si>
    <t>Saudi Arabia 2022 – Speaker 8 – Conversation (Women) (Part 3)</t>
  </si>
  <si>
    <t>SAU_2022_Speaker14_5</t>
  </si>
  <si>
    <t>19:09</t>
  </si>
  <si>
    <t>Saudi Arabia 2022 – Speaker 14 – Session 5</t>
  </si>
  <si>
    <t>SAU_2022_Speaker14_6</t>
  </si>
  <si>
    <t>12:40</t>
  </si>
  <si>
    <t>Saudi Arabia 2022 – Speaker 14 – Session 6</t>
  </si>
  <si>
    <t>SAU_2022_Speaker14_7</t>
  </si>
  <si>
    <t>01:59</t>
  </si>
  <si>
    <t>Saudi Arabia 2022 – Speaker 14 – Session 7</t>
  </si>
  <si>
    <t>SAU_2022_Speaker14_8</t>
  </si>
  <si>
    <t>03:51</t>
  </si>
  <si>
    <t>Saudi Arabia 2022 – Speaker 14 – Session 8</t>
  </si>
  <si>
    <t>SAU_2022_Speaker14_9</t>
  </si>
  <si>
    <t>00:15</t>
  </si>
  <si>
    <t>Saudi Arabia 2022 – Speaker 14 – Session 9</t>
  </si>
  <si>
    <t>SAU_2022_Speaker14_10</t>
  </si>
  <si>
    <t>03:32</t>
  </si>
  <si>
    <t>Saudi Arabia 2022 – Speaker 14 – Session 10</t>
  </si>
  <si>
    <t>SAU_2022_Speaker14_11</t>
  </si>
  <si>
    <t>06:40</t>
  </si>
  <si>
    <t>Saudi Arabia 2022 – Speaker 14 – Session 11</t>
  </si>
  <si>
    <t>SAU_2022_Speaker14_12</t>
  </si>
  <si>
    <t>16:35</t>
  </si>
  <si>
    <t>Saudi Arabia 2022 – Speaker 14 – Session 12</t>
  </si>
  <si>
    <t>SAU_2022_Speaker14_15</t>
  </si>
  <si>
    <t>Saudi Arabia 2022 – Speaker 14 – Session 15</t>
  </si>
  <si>
    <t>SAU_2022_Speaker14_16</t>
  </si>
  <si>
    <t>28:58</t>
  </si>
  <si>
    <t>Saudi Arabia 2022 – Speaker 14 – Session 16</t>
  </si>
  <si>
    <t>SAU_2022_Speaker14_17</t>
  </si>
  <si>
    <t>02:09</t>
  </si>
  <si>
    <t>Saudi Arabia 2022 – Speaker 14 – Session 17</t>
  </si>
  <si>
    <t>SAU_2022_Speaker14_Weaving_4</t>
  </si>
  <si>
    <t>05:08</t>
  </si>
  <si>
    <t>Saudi Arabia 2022 – Speaker 14 – Weaving (Part 4)</t>
  </si>
  <si>
    <t>SAU_2022_Speaker9_family_school</t>
  </si>
  <si>
    <t>15:27</t>
  </si>
  <si>
    <t>Saudi Arabia 2022 – Speaker 9 – Family and School</t>
  </si>
  <si>
    <t>SAU_2022_Speaker25_poetry_recital</t>
  </si>
  <si>
    <t>32:38</t>
  </si>
  <si>
    <t>Saudi Arabia 2022 – Speaker 25 – Poetry Recital</t>
  </si>
  <si>
    <t>SAU_2022_Speaker43_tribe_abs</t>
  </si>
  <si>
    <t>22:47</t>
  </si>
  <si>
    <t>Saudi Arabia 2022 – Speaker 43 – Tribe: Abs</t>
  </si>
  <si>
    <t>SAU_2022_Speaker43_conversation</t>
  </si>
  <si>
    <t>06:04</t>
  </si>
  <si>
    <t>Saudi Arabia 2022 – Speaker 43 – Conversation</t>
  </si>
  <si>
    <t>SAU_2022_Speaker24_qasida_reading</t>
  </si>
  <si>
    <t>15:03</t>
  </si>
  <si>
    <t>Saudi Arabia 2022 – Speaker 24 – Qasida Reading</t>
  </si>
  <si>
    <t>SAU_2022_Speaker9_camels_1</t>
  </si>
  <si>
    <t>28:16</t>
  </si>
  <si>
    <t>Saudi Arabia 2022 – Speaker 9 – Camels (Part 1)</t>
  </si>
  <si>
    <t>SAU_2022_Speaker9_camels_2</t>
  </si>
  <si>
    <t>17:03</t>
  </si>
  <si>
    <t>Saudi Arabia 2022 – Speaker 9 – Camels (Part 2)</t>
  </si>
  <si>
    <t>SAU_2022_Speaker9_camels_3</t>
  </si>
  <si>
    <t>02:04</t>
  </si>
  <si>
    <t>Saudi Arabia 2022 – Speaker 9 – Camels (Part 3)</t>
  </si>
  <si>
    <t>SAU_2022_Speaker9_camels_4</t>
  </si>
  <si>
    <t>Saudi Arabia 2022 – Speaker 9 – Camels (Part 4)</t>
  </si>
  <si>
    <t>SAU_2022_Speaker9_camels_5</t>
  </si>
  <si>
    <t>14:56</t>
  </si>
  <si>
    <t>Saudi Arabia 2022 – Speaker 9 – Camels (Part 5)</t>
  </si>
  <si>
    <t>SAU_2022_Speaker9_camels_6</t>
  </si>
  <si>
    <t>00:46</t>
  </si>
  <si>
    <t>Saudi Arabia 2022 – Speaker 9 – Camels (Part 6)</t>
  </si>
  <si>
    <t>SAU_2022_Speaker9_poetry_1</t>
  </si>
  <si>
    <t>32:39</t>
  </si>
  <si>
    <t>Saudi Arabia 2022 – Speaker 9 – Poetry (Part 1)</t>
  </si>
  <si>
    <t>SAU_2022_Speaker14_coffee_women</t>
  </si>
  <si>
    <t>16:38</t>
  </si>
  <si>
    <t>Saudi Arabia 2022 – Speaker 14 – Coffee; Women</t>
  </si>
  <si>
    <t>SAU_2022_Speaker14_conversationWomen</t>
  </si>
  <si>
    <t>36:29</t>
  </si>
  <si>
    <t>Saudi Arabia 2022 – Speaker 14 – Conversation (Women)</t>
  </si>
  <si>
    <t>SAU_2022_Speaker28_conversation_Oldman</t>
  </si>
  <si>
    <t>37:56</t>
  </si>
  <si>
    <t>Saudi Arabia 2022 – Speaker 28 – Conversation with Old Man</t>
  </si>
  <si>
    <t>SAU_2022_Speaker29_interviews_1</t>
  </si>
  <si>
    <t>11:24</t>
  </si>
  <si>
    <t>Saudi Arabia 2022 – Speaker 29 – Interviews (Part 1)</t>
  </si>
  <si>
    <t>SAU_2022_Speaker21_interviews</t>
  </si>
  <si>
    <t>12:28</t>
  </si>
  <si>
    <t>Saudi Arabia 2022 – Speaker 21 – Interviews</t>
  </si>
  <si>
    <t>SAU_2022_Speaker50_interviews</t>
  </si>
  <si>
    <t>Saudi Arabia 2022 – Speaker 50 – Interviews</t>
  </si>
  <si>
    <t>SAU_2022_Speaker51_interviews</t>
  </si>
  <si>
    <t>05:34</t>
  </si>
  <si>
    <t>Saudi Arabia 2022 – Speaker 51 – Interviews</t>
  </si>
  <si>
    <t>SAU_2022_Speaker52_interviews</t>
  </si>
  <si>
    <t>08:21</t>
  </si>
  <si>
    <t>Saudi Arabia 2022 – Speaker 52 – Interviews</t>
  </si>
  <si>
    <t>SAU_2022_Speaker35_narrativeInt_oldMan</t>
  </si>
  <si>
    <t>23:44</t>
  </si>
  <si>
    <t>Saudi Arabia 2022 – Speaker 35 – Narrative Interview: Old Man</t>
  </si>
  <si>
    <t>SAU_2022_Speaker32_traditions_1</t>
  </si>
  <si>
    <t>1:01:25</t>
  </si>
  <si>
    <t>Saudi Arabia 2022 – Speaker 32 – Traditions (Part 1)</t>
  </si>
  <si>
    <t>SAU_2022_Speaker49_OldMan_2</t>
  </si>
  <si>
    <t>20:36</t>
  </si>
  <si>
    <t>Saudi Arabia 2022 – Speaker 49 – Old Man (Part 2)</t>
  </si>
  <si>
    <t>RSD_JOR_2024_Speaker1_ghor_wedding_traditions</t>
  </si>
  <si>
    <t>RSD_JOR_2024_Speaker1_ghor_wedding_traditions_2</t>
  </si>
  <si>
    <t>Jordan Fieldwork Campaign Maria Rebecca Zarb 2024</t>
  </si>
  <si>
    <t>07:24</t>
  </si>
  <si>
    <t>Ghawr as-Safi</t>
  </si>
  <si>
    <t>Rashayda Jordan 2024 – Speaker 1 – Ghor Wedding Traditions</t>
  </si>
  <si>
    <t>05:33</t>
  </si>
  <si>
    <t>Rashayda Jordan 2024 – Speaker 1 – Ghor Wedding Traditions (Part 2)</t>
  </si>
  <si>
    <t>RSD_JOR_2024_Speaker12_traditions_history_1</t>
  </si>
  <si>
    <t>RSD_JOR_2024_Speaker12_traditions_history_2</t>
  </si>
  <si>
    <t>08:34</t>
  </si>
  <si>
    <t>Ajloun</t>
  </si>
  <si>
    <t>Rashayda Jordan 2024 – Speaker 12 – Traditions; History (Part 1)</t>
  </si>
  <si>
    <t>RSD_JOR_2024_Speaker12_traditions_history_3</t>
  </si>
  <si>
    <t>05:28</t>
  </si>
  <si>
    <t>Rashayda Jordan 2024 – Speaker 12 – Traditions; History (Part 2)</t>
  </si>
  <si>
    <t>RSD_JOR_2024_Speaker12_weddingtraditions</t>
  </si>
  <si>
    <t>01:48</t>
  </si>
  <si>
    <t>Rashayda Jordan 2024 – Speaker 12 – Traditions; History (Part 3)</t>
  </si>
  <si>
    <t>06:11</t>
  </si>
  <si>
    <t>Rashayda Jordan 2024 – Speaker 12 – Wedding Traditions</t>
  </si>
  <si>
    <t>RSD_JOR_2024_Speaker2_wedding_traditions</t>
  </si>
  <si>
    <t>09:33</t>
  </si>
  <si>
    <t>Rashayda Jordan 2024 – Speaker 2 – Wedding Traditions</t>
  </si>
  <si>
    <t>RSD_JOR_2024_Speaker2_history_migration_story</t>
  </si>
  <si>
    <t>RSD_JOR_2024_Speaker2_miscellaneous</t>
  </si>
  <si>
    <t>20:49</t>
  </si>
  <si>
    <t>Rashayda Jordan 2024 – Speaker 2 – History; Migration Story</t>
  </si>
  <si>
    <t>10:06</t>
  </si>
  <si>
    <t>Rashayda Jordan 2024 – Speaker 2 – Miscellaneous</t>
  </si>
  <si>
    <t>RSD_JOR_2024_Speaker13_history_1</t>
  </si>
  <si>
    <t>RSD_JOR_2024_Speaker13_history_2</t>
  </si>
  <si>
    <t>07:14</t>
  </si>
  <si>
    <t>Rashayda Jordan 2024 – Speaker 13 – History (Part 1)</t>
  </si>
  <si>
    <t>RSD_JOR_2024_Speaker13_history_3</t>
  </si>
  <si>
    <t>30:00</t>
  </si>
  <si>
    <t>Rashayda Jordan 2024 – Speaker 13 – History (Part 2)</t>
  </si>
  <si>
    <t>RSD_JOR_2024_Speaker13_history_4</t>
  </si>
  <si>
    <t>49:00</t>
  </si>
  <si>
    <t>Rashayda Jordan 2024 – Speaker 13 – History (Part 3)</t>
  </si>
  <si>
    <t>RSD_JOR_2024_Speaker13_womens_work</t>
  </si>
  <si>
    <t>58:00</t>
  </si>
  <si>
    <t>Rashayda Jordan 2024 – Speaker 13 – History (Part 4)</t>
  </si>
  <si>
    <t>RSD_JOR_2024_Speaker13_business</t>
  </si>
  <si>
    <t>29:00</t>
  </si>
  <si>
    <t>Rashayda Jordan 2024 – Speaker 13 – Women’s Work</t>
  </si>
  <si>
    <t>RSD_JOR_2024_Speaker13_tribal_arbitrator</t>
  </si>
  <si>
    <t>01:00</t>
  </si>
  <si>
    <t>Rashayda Jordan 2024 – Speaker 13 – Business</t>
  </si>
  <si>
    <t>RSD_JOR_2024_Speaker13_daxil</t>
  </si>
  <si>
    <t>59:00</t>
  </si>
  <si>
    <t>Rashayda Jordan 2024 – Speaker 13 – Tribal Arbitrator</t>
  </si>
  <si>
    <t>09:00</t>
  </si>
  <si>
    <t>Rashayda Jordan 2024 – Speaker 13 – Daxil</t>
  </si>
  <si>
    <t>RSD_JOR_2024_ajloun_questionnaire</t>
  </si>
  <si>
    <t>40:00</t>
  </si>
  <si>
    <t>Rashayda Jordan 2024 – Ajloun – Questionnaire</t>
  </si>
  <si>
    <t>RSD_JOR_2024_ghor_questionnaire</t>
  </si>
  <si>
    <t>23:47</t>
  </si>
  <si>
    <t>Rashayda Jordan 2024 – Ghor – Questionnaire</t>
  </si>
  <si>
    <t>RSD_JOR_2024_shuna_questionnaire_1</t>
  </si>
  <si>
    <t>RSD_JOR_2024_shuna_questionnaire_2</t>
  </si>
  <si>
    <t>14:30</t>
  </si>
  <si>
    <t>Rashayda Jordan 2024 – Shuna – Questionnaire (Part 1)</t>
  </si>
  <si>
    <t>18:30</t>
  </si>
  <si>
    <t>Rashayda Jordan 2024 – Shuna – Questionnaire (Part 2)</t>
  </si>
  <si>
    <t>RSD_JOR_2024_Speaker25_coffeetraditions</t>
  </si>
  <si>
    <t>RSD_JOR_2024_Speaker25_animalslaughterforguest</t>
  </si>
  <si>
    <t>04:30</t>
  </si>
  <si>
    <t>Rashayda Jordan 2024 – Speaker 25 – Coffee Traditions</t>
  </si>
  <si>
    <t>RSD_JOR_2024_Speaker25_guestreception</t>
  </si>
  <si>
    <t>02:24</t>
  </si>
  <si>
    <t>Rashayda Jordan 2024 – Speaker 25 – Animal Slaughter for Guests</t>
  </si>
  <si>
    <t>RSD_JOR_2024_Speaker25_daxil</t>
  </si>
  <si>
    <t>02:00</t>
  </si>
  <si>
    <t>Rashayda Jordan 2024 – Speaker 25 – Guest Reception</t>
  </si>
  <si>
    <t>RSD_JOR_2024_Speaker25_tribal_law</t>
  </si>
  <si>
    <t>RSD_JOR_2024_Speaker25_tribal_history</t>
  </si>
  <si>
    <t>02:22</t>
  </si>
  <si>
    <t>Rashayda Jordan 2024 – Speaker 25 – Tribal Law</t>
  </si>
  <si>
    <t>05:49</t>
  </si>
  <si>
    <t>Rashayda Jordan 2024 – Speaker 25 – Tribal History</t>
  </si>
  <si>
    <t>RSD_JOR_2024_Speaker25_banishment</t>
  </si>
  <si>
    <t>02:32</t>
  </si>
  <si>
    <t>Rashayda Jordan 2024 – Speaker 25 – Banishment</t>
  </si>
  <si>
    <t>05:07</t>
  </si>
  <si>
    <t>Rashayda Jordan 2024 – Speaker 25 – Daxil</t>
  </si>
  <si>
    <t>RSD_JOR_2024_Speaker22_customs_weddings_language</t>
  </si>
  <si>
    <t>10:44</t>
  </si>
  <si>
    <t>Amman</t>
  </si>
  <si>
    <t>Rashayda Jordan 2024 – Speaker 22 – Customs; Weddings; Language</t>
  </si>
  <si>
    <t>SALMAN_JOR_2024_ajloun_culture_house</t>
  </si>
  <si>
    <t>22:58</t>
  </si>
  <si>
    <t>translated</t>
  </si>
  <si>
    <t>Salman Jordan 2024 – Ajloun – Culture House</t>
  </si>
  <si>
    <t>RSD_JOR_2024_refugee_centre_1</t>
  </si>
  <si>
    <t>RSD_JOR_2024_refugee_centre_2</t>
  </si>
  <si>
    <t>22:05</t>
  </si>
  <si>
    <t>recorded</t>
  </si>
  <si>
    <t>Rashayda Jordan 2024 – Refugee Centre (Part 1)</t>
  </si>
  <si>
    <t>1:01:05</t>
  </si>
  <si>
    <t>Rashayda Jordan 2024 – Refugee Centre (Part 2)</t>
  </si>
  <si>
    <t>RSD_JOR_2024_shuna_session_morning_1</t>
  </si>
  <si>
    <t>RSD_JOR_2024_shuna_session_morning_2</t>
  </si>
  <si>
    <t>1:13.34</t>
  </si>
  <si>
    <t>Rashayda Jordan 2024 – Shuna – Morning Session (1)</t>
  </si>
  <si>
    <t>RSD_JOR_2024_shuna_session_morning_3</t>
  </si>
  <si>
    <t>35:00</t>
  </si>
  <si>
    <t>Rashayda Jordan 2024 – Shuna – Morning Session (2)</t>
  </si>
  <si>
    <t>RSD_JOR_2024_shuna_session_morning_4</t>
  </si>
  <si>
    <t>52:24</t>
  </si>
  <si>
    <t>Rashayda Jordan 2024 – Shuna – Morning Session (3)</t>
  </si>
  <si>
    <t>RSD_JOR_2024_shuna_session_morning_5</t>
  </si>
  <si>
    <t>24:28</t>
  </si>
  <si>
    <t>Rashayda Jordan 2024 – Shuna – Morning Session (4)</t>
  </si>
  <si>
    <t>RSD_JOR_2024_shuna_session_morning_6</t>
  </si>
  <si>
    <t>05:43</t>
  </si>
  <si>
    <t>Rashayda Jordan 2024 – Shuna – Morning Session (5)</t>
  </si>
  <si>
    <t>RSD_JOR_2024_shuna_session_morning_8</t>
  </si>
  <si>
    <t>01:16</t>
  </si>
  <si>
    <t>Rashayda Jordan 2024 – Shuna – Morning Session (6)</t>
  </si>
  <si>
    <t>RSD_JOR_2024_shuna_session_morning_9</t>
  </si>
  <si>
    <t>03:22</t>
  </si>
  <si>
    <t>Rashayda Jordan 2024 – Shuna – Morning Session (8)</t>
  </si>
  <si>
    <t>RSD_JOR_2024_shuna_session_morning_10</t>
  </si>
  <si>
    <t>48:05</t>
  </si>
  <si>
    <t>Rashayda Jordan 2024 – Shuna – Morning Session (9)</t>
  </si>
  <si>
    <t>28:28</t>
  </si>
  <si>
    <t>Rashayda Jordan 2024 – Shuna – Morning Session (10)</t>
  </si>
  <si>
    <t>RSD_JOR_2024_lawyers_1</t>
  </si>
  <si>
    <t>RSD_JOR_2024_lawyers_2</t>
  </si>
  <si>
    <t>14:32</t>
  </si>
  <si>
    <t>Rashayda Jordan 2024 – Lawyers (1)</t>
  </si>
  <si>
    <t>RSD_JOR_2024_lawyers_3</t>
  </si>
  <si>
    <t>02:07</t>
  </si>
  <si>
    <t>Rashayda Jordan 2024 – Lawyers (2)</t>
  </si>
  <si>
    <t>RSD_JOR_2024_lawyers_4</t>
  </si>
  <si>
    <t>25:54</t>
  </si>
  <si>
    <t>Rashayda Jordan 2024 – Lawyers (3)</t>
  </si>
  <si>
    <t>RSD_JOR_2024_lawyers_5</t>
  </si>
  <si>
    <t>10:27</t>
  </si>
  <si>
    <t>Rashayda Jordan 2024 – Lawyers (4)</t>
  </si>
  <si>
    <t>RSD_JOR_2024_lawyers_6</t>
  </si>
  <si>
    <t>26:49</t>
  </si>
  <si>
    <t>Rashayda Jordan 2024 – Lawyers (5)</t>
  </si>
  <si>
    <t>04:25</t>
  </si>
  <si>
    <t>Rashayda Jordan 2024 – Lawyers (6)</t>
  </si>
  <si>
    <t>RSD_JOR_2024_lawyers_8</t>
  </si>
  <si>
    <t>RSD_JOR_2024_lawyers_9</t>
  </si>
  <si>
    <t>15:04</t>
  </si>
  <si>
    <t>Rashayda Jordan 2024 – Lawyers (8)</t>
  </si>
  <si>
    <t>RSD_JOR_2024_lawyers_10</t>
  </si>
  <si>
    <t>04:05</t>
  </si>
  <si>
    <t>Rashayda Jordan 2024 – Lawyers (9)</t>
  </si>
  <si>
    <t>08:41</t>
  </si>
  <si>
    <t>Rashayda Jordan 2024 – Lawyers (10)</t>
  </si>
  <si>
    <t>RSD_JOR_2024_lawyers_11</t>
  </si>
  <si>
    <t>Rashayda Jordan 2024 – Lawyers (11)</t>
  </si>
  <si>
    <t>RSD_JOR_2024_shuna_session_evening_5</t>
  </si>
  <si>
    <t>RSD_JOR_2024_shuna_session_evening_6</t>
  </si>
  <si>
    <t>14:05</t>
  </si>
  <si>
    <t>Rashayda Jordan 2024 – Shuna – Evening Session (5)</t>
  </si>
  <si>
    <t>RSD_JOR_2024_shuna_session_evening_7</t>
  </si>
  <si>
    <t>17:37</t>
  </si>
  <si>
    <t>Rashayda Jordan 2024 – Shuna – Evening Session (6)</t>
  </si>
  <si>
    <t>RSD_JOR_2024_shuna_session_evening_8</t>
  </si>
  <si>
    <t>03:44</t>
  </si>
  <si>
    <t>Rashayda Jordan 2024 – Shuna – Evening Session (7)</t>
  </si>
  <si>
    <t>RSD_JOR_2024_shuna_session_evening_9</t>
  </si>
  <si>
    <t>01:31</t>
  </si>
  <si>
    <t>Rashayda Jordan 2024 – Shuna – Evening Session (8)</t>
  </si>
  <si>
    <t>RSD_JOR_2024_shuna_session_evening_10</t>
  </si>
  <si>
    <t>Rashayda Jordan 2024 – Shuna – Evening Session (9)</t>
  </si>
  <si>
    <t>RSD_JOR_2024_shuna_session_evening_11</t>
  </si>
  <si>
    <t>00:11</t>
  </si>
  <si>
    <t>Rashayda Jordan 2024 – Shuna – Evening Session (10)</t>
  </si>
  <si>
    <t>RSD_JOR_2024_shuna_session_evening_12</t>
  </si>
  <si>
    <t>20:54</t>
  </si>
  <si>
    <t>Rashayda Jordan 2024 – Shuna – Evening Session (11)</t>
  </si>
  <si>
    <t>RSD_JOR_2024_shuna_session_evening_13</t>
  </si>
  <si>
    <t>09:43</t>
  </si>
  <si>
    <t>Rashayda Jordan 2024 – Shuna – Evening Session (12)</t>
  </si>
  <si>
    <t>RSD_JOR_2024_shuna_session_evening_14</t>
  </si>
  <si>
    <t>34:12</t>
  </si>
  <si>
    <t>Rashayda Jordan 2024 – Shuna – Evening Session (13)</t>
  </si>
  <si>
    <t>00:20</t>
  </si>
  <si>
    <t>Rashayda Jordan 2024 – Shuna – Evening Session (14)</t>
  </si>
  <si>
    <t>RSD_JOR_2024_ajloun_1</t>
  </si>
  <si>
    <t>RSD_JOR_2024_ajloun_2</t>
  </si>
  <si>
    <t>58:35</t>
  </si>
  <si>
    <t>Rashayda Jordan 2024 – Ajloun (1)</t>
  </si>
  <si>
    <t>1:11:16</t>
  </si>
  <si>
    <t>Rashayda Jordan 2024 – Ajloun (2)</t>
  </si>
  <si>
    <t>RSD_JOR_2024_majlis_men_from_ghor_4_miscellaneous</t>
  </si>
  <si>
    <t>RSD_JOR_2024_majlis_men_from_ghor_5_dialect</t>
  </si>
  <si>
    <t>21:27</t>
  </si>
  <si>
    <t>Rashayda Jordan 2024 – Majlis (Men from Ghor) – Miscellaneous (4)</t>
  </si>
  <si>
    <t>RSD_JOR_2024_majlis_men_from_ghor_6_tribal_traditions</t>
  </si>
  <si>
    <t>03:21</t>
  </si>
  <si>
    <t>Rashayda Jordan 2024 – Majlis (Men from Ghor) – Dialect (5)</t>
  </si>
  <si>
    <t>RSD_JOR_2024_majlis_men_from_ghor_7_more tribal_traditions</t>
  </si>
  <si>
    <t>09:14</t>
  </si>
  <si>
    <t>Rashayda Jordan 2024 – Majlis (Men from Ghor) – Tribal Traditions (6)</t>
  </si>
  <si>
    <t>04:17</t>
  </si>
  <si>
    <t>Rashayda Jordan 2024 – Majlis (Men from Ghor) – More Tribal Traditions (7)</t>
  </si>
  <si>
    <t>RSD_JOR_2024_majlis_men_from_ghor_9_tribal_information_and_personal_questions</t>
  </si>
  <si>
    <t>Rashayda Jordan 2024 – Majlis (Men from Ghor) – Tribal Information and Personal Questions (9)</t>
  </si>
  <si>
    <t>HWETAT_JOR_2024_Speaker1_history_hwetat_rashayda_1</t>
  </si>
  <si>
    <t>HWETAT_JOR_2024_Speaker1_history_hwetat_rashayda_2</t>
  </si>
  <si>
    <t>05:36</t>
  </si>
  <si>
    <t>Hwetat Jordan 2024 – Speaker 1 – History (Hwetat; Rashayda) (Part 1)</t>
  </si>
  <si>
    <t>11:47</t>
  </si>
  <si>
    <t>Hwetat Jordan 2024 – Speaker 1 – History (Hwetat; Rashayda) (Part 2)</t>
  </si>
  <si>
    <t>HWETAT_JOR_2024_Speaker1_language_information_and_questionnaire</t>
  </si>
  <si>
    <t>HWETAT_JOR_2024_Speaker1_language_information_and_questionnaire_2</t>
  </si>
  <si>
    <t>41:48</t>
  </si>
  <si>
    <t>Hwetat Jordan 2024 – Speaker 1 – Language Information and Questionnaire</t>
  </si>
  <si>
    <t>07:13</t>
  </si>
  <si>
    <t>Hwetat Jordan 2024 – Speaker 1 – Language Information and Questionnaire (Part 2)</t>
  </si>
  <si>
    <t>HWETAT_JOR_2024_Speaker1_wedding_traditions</t>
  </si>
  <si>
    <t>Hwetat Jordan 2024 – Speaker 1 – Wedding Traditions</t>
  </si>
  <si>
    <t>HWETAT_JOR_2024_Speaker2_1</t>
  </si>
  <si>
    <t>HWETAT_JOR_2024_Speaker2_2</t>
  </si>
  <si>
    <t>50:50</t>
  </si>
  <si>
    <t>Hwetat Jordan 2024 – Speaker 2 – Session 1</t>
  </si>
  <si>
    <t>07:40</t>
  </si>
  <si>
    <t>Hwetat Jordan 2024 – Speaker 2 – Session 2</t>
  </si>
  <si>
    <t>HWETAT_JOR_2024_Speaker2_3</t>
  </si>
  <si>
    <t>HWETAT_JOR_2024_Speaker2_4</t>
  </si>
  <si>
    <t>Hwetat Jordan 2024 – Speaker 2 – Session 3</t>
  </si>
  <si>
    <t>HWETAT_JOR_2024_Speaker2_5</t>
  </si>
  <si>
    <t>Hwetat Jordan 2024 – Speaker 2 – Session 4</t>
  </si>
  <si>
    <t>07:43</t>
  </si>
  <si>
    <t>Hwetat Jordan 2024 – Speaker 2 – Session 5</t>
  </si>
  <si>
    <t>HWETAT_JOR_2024_Speaker4_2</t>
  </si>
  <si>
    <t>HWETAT_JOR_2024_Speaker4_3</t>
  </si>
  <si>
    <t>09:11</t>
  </si>
  <si>
    <t>anything of this speaker must remain restricted</t>
  </si>
  <si>
    <t>Hwetat Jordan 2024 – Speaker 4 – Session 2</t>
  </si>
  <si>
    <t>HWETAT_JOR_2024_Speaker4_4</t>
  </si>
  <si>
    <t>02:55</t>
  </si>
  <si>
    <t>Hwetat Jordan 2024 – Speaker 4 – Session 3</t>
  </si>
  <si>
    <t>HWETAT_JOR_2024_Speaker4_5</t>
  </si>
  <si>
    <t>18:46</t>
  </si>
  <si>
    <t>Hwetat Jordan 2024 – Speaker 4 – Session 4</t>
  </si>
  <si>
    <t>HWETAT_JOR_2024_Speaker4_6</t>
  </si>
  <si>
    <t>35:56</t>
  </si>
  <si>
    <t>Hwetat Jordan 2024 – Speaker 4 – Session 5</t>
  </si>
  <si>
    <t>HWETAT_JOR_2024_Speaker4_7</t>
  </si>
  <si>
    <t>16:27</t>
  </si>
  <si>
    <t>Hwetat Jordan 2024 – Speaker 4 – Session 6</t>
  </si>
  <si>
    <t>24:53</t>
  </si>
  <si>
    <t>Hwetat Jordan 2024 – Speaker 4 – Session 7</t>
  </si>
  <si>
    <t>HWETAT_JOR_2024_Speaker4_day2</t>
  </si>
  <si>
    <t>30:17</t>
  </si>
  <si>
    <t>Hwetat Jordan 2024 – Speaker 4 – Day 2</t>
  </si>
  <si>
    <t>SAU_2025_Speaker1_marriage_traditions</t>
  </si>
  <si>
    <t>Saudi Arabia Fieldwork Campaign Maria Rebecca Zarb 2025</t>
  </si>
  <si>
    <t>13:31</t>
  </si>
  <si>
    <t>Riyadh</t>
  </si>
  <si>
    <t>Saudi Arabia 2025 – Speaker 1 – Marriage Traditions</t>
  </si>
  <si>
    <t>SAU_2025_Speaker1_dialects_coffee_traditions</t>
  </si>
  <si>
    <t>37:50</t>
  </si>
  <si>
    <t>Saudi Arabia 2025 – Speaker 1 – Dialects; Coffee Traditions</t>
  </si>
  <si>
    <t>SAU_2025_Speaker1_questionnaire</t>
  </si>
  <si>
    <t>53:52</t>
  </si>
  <si>
    <t>Saudi Arabia 2025 – Speaker 1 – Questionnaire</t>
  </si>
  <si>
    <t>SAU_2025_Speaker1_picture_elicitation_short_stories</t>
  </si>
  <si>
    <t>SAU_2025_Speaker1_picture_elicitation_flashcards</t>
  </si>
  <si>
    <t>16:42</t>
  </si>
  <si>
    <t>Saudi Arabia 2025 – Speaker 1 – Picture Elicitation: Short Stories</t>
  </si>
  <si>
    <t>46:39</t>
  </si>
  <si>
    <t>Saudi Arabia 2025 – Speaker 1 – Picture Elicitation: Flashcards</t>
  </si>
  <si>
    <t>SAU_2025_Speaker21_thimid_car_session_2</t>
  </si>
  <si>
    <t>SAU_2025_Speaker21_thimid_car_session_3</t>
  </si>
  <si>
    <t>Saudi Arabia 2025 – Speaker 21 – Thimid – Car Session (2)</t>
  </si>
  <si>
    <t>SAU_2025_Speaker21_thimid_car_session_6</t>
  </si>
  <si>
    <t>04:01</t>
  </si>
  <si>
    <t>Saudi Arabia 2025 – Speaker 21 – Thimid – Car Session (3)</t>
  </si>
  <si>
    <t>SAU_2025_Speaker21_thimid_car_session_7</t>
  </si>
  <si>
    <t>01:29</t>
  </si>
  <si>
    <t>Saudi Arabia 2025 – Speaker 21 – Thimid – Car Session (6)</t>
  </si>
  <si>
    <t>00:49</t>
  </si>
  <si>
    <t>Saudi Arabia 2025 – Speaker 21 – Thimid – Car Session (7)</t>
  </si>
  <si>
    <t>SAU_2025_Speaker9_hail_majlis_afternoon_4</t>
  </si>
  <si>
    <t>SAU_2025_Speaker9_hail_majlis_afternoon_5</t>
  </si>
  <si>
    <t>06:47</t>
  </si>
  <si>
    <t>Saudi Arabia 2025 – Speaker 9 – Hail – Majlis (Afternoon 4)</t>
  </si>
  <si>
    <t>12:37</t>
  </si>
  <si>
    <t>Saudi Arabia 2025 – Speaker 9 – Hail – Majlis (Afternoon 5)</t>
  </si>
  <si>
    <t>SAU_2025_Speaker12_hail_majlis_evening_1</t>
  </si>
  <si>
    <t>SAU_2025_Speaker12_hail_majlis_evening_2</t>
  </si>
  <si>
    <t>08:18</t>
  </si>
  <si>
    <t>Saudi Arabia 2025 – Speaker 12 – Hail – Majlis (Evening 1)</t>
  </si>
  <si>
    <t>SAU_2025_Speaker12_hail_majlis_evening_3</t>
  </si>
  <si>
    <t>05:40</t>
  </si>
  <si>
    <t>Saudi Arabia 2025 – Speaker 12 – Hail – Majlis (Evening 2)</t>
  </si>
  <si>
    <t>SAU_2025_Speaker12_hail_majlis_evening_4</t>
  </si>
  <si>
    <t>Saudi Arabia 2025 – Speaker 12 – Hail – Majlis (Evening 3)</t>
  </si>
  <si>
    <t>SAU_2025_Speaker12_hail_majlis_evening_5</t>
  </si>
  <si>
    <t>Saudi Arabia 2025 – Speaker 12 – Hail – Majlis (Evening 4)</t>
  </si>
  <si>
    <t>SAU_2025_Speaker12_hail_majlis_evening_6</t>
  </si>
  <si>
    <t>Saudi Arabia 2025 – Speaker 12 – Hail – Majlis (Evening 5)</t>
  </si>
  <si>
    <t>04:57</t>
  </si>
  <si>
    <t>Saudi Arabia 2025 – Speaker 12 – Hail – Majlis (Evening 6)</t>
  </si>
  <si>
    <t>SAU_2025_Speaker14_hait_evening_majlis_session</t>
  </si>
  <si>
    <t>45:48</t>
  </si>
  <si>
    <t>Saudi Arabia 2025 – Speaker 14 – Hait – Evening Majlis Session</t>
  </si>
  <si>
    <t>SAU_2025_Speaker13_hait_camelherder_1</t>
  </si>
  <si>
    <t>SAU_2025_Speaker13_hait_camelherder_2</t>
  </si>
  <si>
    <t>28:45</t>
  </si>
  <si>
    <t>Saudi Arabia 2025 – Speaker 13 – Hait – Camel Herder (Part 1)</t>
  </si>
  <si>
    <t>SAU_2025_Speaker13_hait_camelherder_3</t>
  </si>
  <si>
    <t>09:55</t>
  </si>
  <si>
    <t>Saudi Arabia 2025 – Speaker 13 – Hait – Camel Herder (Part 2)</t>
  </si>
  <si>
    <t>SAU_2025_Speaker13_hait_camelherder_4</t>
  </si>
  <si>
    <t>07:18</t>
  </si>
  <si>
    <t>Saudi Arabia 2025 – Speaker 13 – Hait – Camel Herder (Part 3)</t>
  </si>
  <si>
    <t>SAU_2025_Speaker13_hait_camelherder_5</t>
  </si>
  <si>
    <t>06:36</t>
  </si>
  <si>
    <t>Saudi Arabia 2025 – Speaker 13 – Hait – Camel Herder (Part 4)</t>
  </si>
  <si>
    <t>SAU_2025_Speaker13_hait_camelherder_6</t>
  </si>
  <si>
    <t>19:19</t>
  </si>
  <si>
    <t>Saudi Arabia 2025 – Speaker 13 – Hait – Camel Herder (Part 5)</t>
  </si>
  <si>
    <t>SAU_2025_Speaker13_hait_camelherder_7</t>
  </si>
  <si>
    <t>Saudi Arabia 2025 – Speaker 13 – Hait – Camel Herder (Part 6)</t>
  </si>
  <si>
    <t>07:47</t>
  </si>
  <si>
    <t>Saudi Arabia 2025 – Speaker 13 – Hait – Camel Herder (Part 7)</t>
  </si>
  <si>
    <t>SAU_2025_Speaker18_hait_majlis_sheikh</t>
  </si>
  <si>
    <t>30:34</t>
  </si>
  <si>
    <t>Saudi Arabia 2025 – Speaker 18 – Hait – Majlis with Sheikh</t>
  </si>
  <si>
    <t>SAU_2025_Speaker7_hail_majlis_afternoon_1</t>
  </si>
  <si>
    <t>SAU_2025_Speaker7_hail_majlis_afternoon_2</t>
  </si>
  <si>
    <t>07:59</t>
  </si>
  <si>
    <t>Saudi Arabia 2025 – Speaker 7 – Hail – Majlis (Afternoon 1)</t>
  </si>
  <si>
    <t>SAU_2025_Speaker7_hail_majlis_afternoon_3</t>
  </si>
  <si>
    <t>03:13</t>
  </si>
  <si>
    <t>Saudi Arabia 2025 – Speaker 7 – Hail – Majlis (Afternoon 2)</t>
  </si>
  <si>
    <t>02:21</t>
  </si>
  <si>
    <t>Saudi Arabia 2025 – Speaker 7 – Hail – Majlis (Afternoon 3)</t>
  </si>
  <si>
    <t>SAU_2025_Speaker21_2men_majlis_session_thimid_1</t>
  </si>
  <si>
    <t>SAU_2025_Speaker21_2men_majlis_session_thimid_2</t>
  </si>
  <si>
    <t>59:21</t>
  </si>
  <si>
    <t>Saudi Arabia 2025 – Speaker 21 – Thimid – Majlis Session (2 Men) (1)</t>
  </si>
  <si>
    <t>23:06</t>
  </si>
  <si>
    <t>Saudi Arabia 2025 – Speaker 21 – Thimid – Majlis Session (2 Men) (2)</t>
  </si>
  <si>
    <t>SAU_2025_Speaker21_thimid_dam_1</t>
  </si>
  <si>
    <t>SAU_2025_Speaker21_thimid_dam_2</t>
  </si>
  <si>
    <t>01:23</t>
  </si>
  <si>
    <t>Saudi Arabia 2025 – Speaker 21 – Thimid – Dam (1)</t>
  </si>
  <si>
    <t>SAU_2025_Speaker21_thimid_dam_3</t>
  </si>
  <si>
    <t>13:35</t>
  </si>
  <si>
    <t>Saudi Arabia 2025 – Speaker 21 – Thimid – Dam (2)</t>
  </si>
  <si>
    <t>SAU_2025_Speaker21_thimid_dam_5</t>
  </si>
  <si>
    <t>Saudi Arabia 2025 – Speaker 21 – Thimid – Dam (3)</t>
  </si>
  <si>
    <t>06:10</t>
  </si>
  <si>
    <t>Saudi Arabia 2025 – Speaker 21 – Thimid – Dam (5)</t>
  </si>
  <si>
    <t>SAU_2025_Speaker31_questionnaire</t>
  </si>
  <si>
    <t>49:45</t>
  </si>
  <si>
    <t>Saudi Arabia 2025 – Speaker 31 – Questionnaire</t>
  </si>
  <si>
    <t>SAU_2025_Speaker41_hail_advisor_1</t>
  </si>
  <si>
    <t>SAU_2025_Speaker41_hail_advisor_3</t>
  </si>
  <si>
    <t>05:11</t>
  </si>
  <si>
    <t>Saudi Arabia 2025 – Speaker 41 – Hail – Advisor (1)</t>
  </si>
  <si>
    <t>SAU_2025_Speaker41_hail_advisor_5</t>
  </si>
  <si>
    <t>21:46</t>
  </si>
  <si>
    <t>Saudi Arabia 2025 – Speaker 41 – Hail – Advisor (3)</t>
  </si>
  <si>
    <t>42:17</t>
  </si>
  <si>
    <t>Saudi Arabia 2025 – Speaker 41 – Hail – Advisor (5)</t>
  </si>
  <si>
    <t>SAU_2025_Speaker42_hail_oldman_evening_1</t>
  </si>
  <si>
    <t>SAU_2025_Speaker42_hail_oldman_evening_2</t>
  </si>
  <si>
    <t>21:31</t>
  </si>
  <si>
    <t>Saudi Arabia 2025 – Speaker 42 – Hail – Old Man (Evening 1)</t>
  </si>
  <si>
    <t>07:55</t>
  </si>
  <si>
    <t>Saudi Arabia 2025 – Speaker 42 – Hail – Old Man (Evening 2)</t>
  </si>
  <si>
    <t>SAU_2025_Speaker47_jeddah_poet_day2_1</t>
  </si>
  <si>
    <t>SAU_2025_Speaker47_jeddah_poet_day2_2</t>
  </si>
  <si>
    <t>11:57</t>
  </si>
  <si>
    <t>Jeddah</t>
  </si>
  <si>
    <t>Saudi Arabia 2025 – Speaker 47 – Jeddah – Poet – Day 2 (1)</t>
  </si>
  <si>
    <t>SAU_2025_Speaker47_jeddah_poet_day2_4</t>
  </si>
  <si>
    <t>Saudi Arabia 2025 – Speaker 47 – Jeddah – Poet – Day 2 (2)</t>
  </si>
  <si>
    <t>23:13</t>
  </si>
  <si>
    <t>Saudi Arabia 2025 – Speaker 47 – Jeddah – Poet – Day 2 (4)</t>
  </si>
  <si>
    <t>SAU_2025_Speaker47_jeddah_poet_day1_1</t>
  </si>
  <si>
    <t>SAU_2025_Speaker47_jeddah_poet_day1_2</t>
  </si>
  <si>
    <t>04:04</t>
  </si>
  <si>
    <t>Saudi Arabia 2025 – Speaker 47 – Jeddah – Poet – Day 1 (1)</t>
  </si>
  <si>
    <t>SAU_2025_Speaker47_jeddah_poet_day1_4</t>
  </si>
  <si>
    <t>07:39</t>
  </si>
  <si>
    <t>Saudi Arabia 2025 – Speaker 47 – Jeddah – Poet – Day 1 (2)</t>
  </si>
  <si>
    <t>SAU_2025_Speaker47_jeddah_poet_day1_5</t>
  </si>
  <si>
    <t>19:02</t>
  </si>
  <si>
    <t>Saudi Arabia 2025 – Speaker 47 – Jeddah – Poet – Day 1 (4)</t>
  </si>
  <si>
    <t>SAU_2025_Speaker47_jeddah_poet_day1_6</t>
  </si>
  <si>
    <t>13:03</t>
  </si>
  <si>
    <t>Saudi Arabia 2025 – Speaker 47 – Jeddah – Poet – Day 1 (5)</t>
  </si>
  <si>
    <t>22:01</t>
  </si>
  <si>
    <t>Saudi Arabia 2025 – Speaker 47 – Jeddah – Poet – Day 1 (6)</t>
  </si>
  <si>
    <t>01_NZ_M.73_Karantina_FirstEncounter</t>
  </si>
  <si>
    <t>Lebanon Fieldwork Campaign Ana Iriarte Diez 2023</t>
  </si>
  <si>
    <t>21:39</t>
  </si>
  <si>
    <t>Ana Iriarte Díez</t>
  </si>
  <si>
    <t>Stephan Procházka</t>
  </si>
  <si>
    <t>Karantina</t>
  </si>
  <si>
    <t>02_NZ_M.73_Karantina_BedouinWeddings</t>
  </si>
  <si>
    <t>04:16</t>
  </si>
  <si>
    <t>finalised</t>
  </si>
  <si>
    <t>03_NZ_M.73_Karantina_historyKarantina</t>
  </si>
  <si>
    <t>02:46</t>
  </si>
  <si>
    <t>04_NZ_M.73_Karantina_Pictures</t>
  </si>
  <si>
    <t>10:43</t>
  </si>
  <si>
    <t>05_NZ_M.73_Karantina_shyuxa</t>
  </si>
  <si>
    <t>01:14</t>
  </si>
  <si>
    <t>06_NZ_M.73_Karantina_eliciationIMP.StoryBedouinMan</t>
  </si>
  <si>
    <t>02:45</t>
  </si>
  <si>
    <t>07_NZ_M.73_Karantina_languageUse.NewGeneration.cityVSvillage</t>
  </si>
  <si>
    <t>02:41</t>
  </si>
  <si>
    <t>08_NZ_M.73_Karantina_hisFamily</t>
  </si>
  <si>
    <t>03:53</t>
  </si>
  <si>
    <t>09_NZ_M.73_Karantina_creditSon.picturesWedding</t>
  </si>
  <si>
    <t>10_NZ_M.73_Karantina_GardenPlantsMarketVegetables</t>
  </si>
  <si>
    <t>03:14</t>
  </si>
  <si>
    <t>11_NZ_M.73_Karantina_historyKarantina2_TradeLanguageIdentity</t>
  </si>
  <si>
    <t>01:57</t>
  </si>
  <si>
    <t>12_NZ_M.73_Karantina_ManzulDiwanConversationsReligion</t>
  </si>
  <si>
    <t>02:49</t>
  </si>
  <si>
    <t>13_NZ_M.73_Karantina_AnimalmarketFoodpreparation</t>
  </si>
  <si>
    <t>14_NZ_M.73_Karantina_Beirutbefore</t>
  </si>
  <si>
    <t>03:43</t>
  </si>
  <si>
    <t>15_NZ_M.73_Karantina_ProphetstoryValues</t>
  </si>
  <si>
    <t>01:15</t>
  </si>
  <si>
    <t>16_NZ_M.73_Karantina_SaidaFriends</t>
  </si>
  <si>
    <t>17_NZ_M.73_Karantina_shadirStory</t>
  </si>
  <si>
    <t>02:34</t>
  </si>
  <si>
    <t>18_NZ_M.73_Karantina_tamerStory</t>
  </si>
  <si>
    <t>19_MA_M.71_Karantina_Birth.CivilWar1</t>
  </si>
  <si>
    <t>Lebanon Fieldwork Campaign Ana Iriarte Diez 2022</t>
  </si>
  <si>
    <t>02:52</t>
  </si>
  <si>
    <t>20_MA_M.71_Karantina_PreWarKarantina.Neighborhood.Misery.Death</t>
  </si>
  <si>
    <t>04:26</t>
  </si>
  <si>
    <t>21_MA_M.71_Karantina_CivilWar.Exile.Reputation</t>
  </si>
  <si>
    <t>01:07</t>
  </si>
  <si>
    <t>22_MA_M.71_Karantina_Cheap.Traders.Cattle.Eid</t>
  </si>
  <si>
    <t>01:11</t>
  </si>
  <si>
    <t>23_MA_M.71_Karantina_ArmeniansInKarantina</t>
  </si>
  <si>
    <t>24_MA_M.71_Karantina_Maslax1.dailyRoutine</t>
  </si>
  <si>
    <t>02:15</t>
  </si>
  <si>
    <t>25_MA_M.71_Karantina_Maslax2.howitworked</t>
  </si>
  <si>
    <t>03:34</t>
  </si>
  <si>
    <t>26_MA_M.71_Karantina_Maslax3.meatbusiness</t>
  </si>
  <si>
    <t>03:17</t>
  </si>
  <si>
    <t>27_MA_M.71_Karantina_Trips.Lira</t>
  </si>
  <si>
    <t>01:52</t>
  </si>
  <si>
    <t>28_MA_M.71_Karantina_ArabilMaslax.ArabXalde</t>
  </si>
  <si>
    <t>04:32</t>
  </si>
  <si>
    <t>29_MA_M.71_Karantina_ArabTribesLebanon</t>
  </si>
  <si>
    <t>00:52</t>
  </si>
  <si>
    <t>30_MA_M.71_Karantina_BedouinDialect.Culture</t>
  </si>
  <si>
    <t>31_MA_M.71_Karantina_Foodprices.Clothes.Attitude</t>
  </si>
  <si>
    <t>03:48</t>
  </si>
  <si>
    <t>32_MA_M.71_Karantina_Actors.Cars</t>
  </si>
  <si>
    <t>33_MA_M.71_Karantina_Childhood.Poverty.House</t>
  </si>
  <si>
    <t>34_MA_M.71_Karantina_StoriesofPreWarKarantina.Boat.Drugs</t>
  </si>
  <si>
    <t>04:45</t>
  </si>
  <si>
    <t>35_MA_M.71_Karantina_Beirut.Cinemas.Beef</t>
  </si>
  <si>
    <t>01:34</t>
  </si>
  <si>
    <t>36_MA_M.71_Karantina_PortExplosion</t>
  </si>
  <si>
    <t>37_MA_M.71_Karantina_BreakfastandGossip</t>
  </si>
  <si>
    <t>01:18</t>
  </si>
  <si>
    <t>38_OD_M.72_Karantina_Arab.Tribe.Dialect</t>
  </si>
  <si>
    <t>01:39</t>
  </si>
  <si>
    <t>39_OD_M.72_Karantina_CivilWar</t>
  </si>
  <si>
    <t>40_OD_M.72_Karantina_ArabilMaslax</t>
  </si>
  <si>
    <t>00:57</t>
  </si>
  <si>
    <t>41_OD_M.72_Karantina_DialectLoss.Identity</t>
  </si>
  <si>
    <t>04:40</t>
  </si>
  <si>
    <t>42_OD_M.72_Karantina_Picturesprepositions</t>
  </si>
  <si>
    <t>03:31</t>
  </si>
  <si>
    <t>43_KS_M.65_Karantina_BedouinWeddings1</t>
  </si>
  <si>
    <t>02:06</t>
  </si>
  <si>
    <t>44_KS_M.65_Karantina_BedouinWeddings2</t>
  </si>
  <si>
    <t>05:01</t>
  </si>
  <si>
    <t>45_KS_M.65_Karantina_Bedouincoffee</t>
  </si>
  <si>
    <t>46_KS_M.65_Karantina_Bodyparts.elicitation</t>
  </si>
  <si>
    <t>03:36</t>
  </si>
  <si>
    <t>47_KS_M.65_Karantina_Questionnaire</t>
  </si>
  <si>
    <t>49:20</t>
  </si>
  <si>
    <t>48_KS_M.65_Karantina_Prepositions.elicitation</t>
  </si>
  <si>
    <t>49_KS_M.65_Karantina_Actions.elicitation</t>
  </si>
  <si>
    <t>13:04</t>
  </si>
  <si>
    <t>01_SKh_M.63_Karantina_proyect.F.44passesby</t>
  </si>
  <si>
    <t>06:26</t>
  </si>
  <si>
    <t>02_SKh_M.63_Karantina_bedouindialectideologies</t>
  </si>
  <si>
    <t>06:44</t>
  </si>
  <si>
    <t>03_SKh_M.63_Karantina_convowithkidsellingcoffee</t>
  </si>
  <si>
    <t>04_SKh_M.63_Karantina_convowithM.55</t>
  </si>
  <si>
    <t>25:09</t>
  </si>
  <si>
    <t>KS_F.68_Karantina_all</t>
  </si>
  <si>
    <t>18:17</t>
  </si>
  <si>
    <t>01_NH_F.66_Karantina_hardlife</t>
  </si>
  <si>
    <t>03:46</t>
  </si>
  <si>
    <t>Claudia Laaber</t>
  </si>
  <si>
    <t>02_NH_F.66_Karantina_ARMSandlanguageideologies</t>
  </si>
  <si>
    <t>15:25</t>
  </si>
  <si>
    <t>DZ_F.63_Karantina_all</t>
  </si>
  <si>
    <t>38:37</t>
  </si>
  <si>
    <t>BK_F.57_Karantina_lifestory</t>
  </si>
  <si>
    <t>35:58</t>
  </si>
  <si>
    <t>Yes</t>
  </si>
  <si>
    <t>1.1_KD_F.49_Karantina_IntroPortExplosion</t>
  </si>
  <si>
    <t>1.2_KD_F.49_Karantina_GermanyLanguage</t>
  </si>
  <si>
    <t>03:49</t>
  </si>
  <si>
    <t>1.3_KD_F.49_Karantina_ReturntoKarantina</t>
  </si>
  <si>
    <t>1.4_KD_F.49_Karantina_SocialInjustice</t>
  </si>
  <si>
    <t>01:37</t>
  </si>
  <si>
    <t>1.5_KD_F.49_Karantina_ConvowithKZ.Elections</t>
  </si>
  <si>
    <t>04:56</t>
  </si>
  <si>
    <t>2.1_KD_F.49_Karantina_ARMSdialect.Tribes</t>
  </si>
  <si>
    <t>2.2_KD_F.49_Karantina_Bedouinidentity</t>
  </si>
  <si>
    <t>2.3_KD_F.49_Karantina_Bedouintraditions.Culture.Daughter</t>
  </si>
  <si>
    <t>05:42</t>
  </si>
  <si>
    <t>2.4_KD_F.49_Karantina_Bedouindialects.languageideologies</t>
  </si>
  <si>
    <t>1.1_SS_F.45_Karantina_ArMsdialect</t>
  </si>
  <si>
    <t>10:19</t>
  </si>
  <si>
    <t>1.2_SS_F.45_Karantina_ArMsD2</t>
  </si>
  <si>
    <t>28:49</t>
  </si>
  <si>
    <t>1.3_SS_F.45_Karantina_ArMsbeforeandnow</t>
  </si>
  <si>
    <t>08:44</t>
  </si>
  <si>
    <t>2.1_SS_F.45_Karantina_dialectEvolved</t>
  </si>
  <si>
    <t>02:05</t>
  </si>
  <si>
    <t>2.2_SS_F.45_Karantina_secretcode</t>
  </si>
  <si>
    <t>01:36</t>
  </si>
  <si>
    <t>2.3_SS_F.45_Karantina_ArabLheb</t>
  </si>
  <si>
    <t>01:56</t>
  </si>
  <si>
    <t>2.4_SS_F.45_Karantina_ArabalMaslakhinGermany</t>
  </si>
  <si>
    <t>2.5_SS_F.45_Karantina_SyriansinKarantina</t>
  </si>
  <si>
    <t>02:59</t>
  </si>
  <si>
    <t>2.6_SS_F.45_Karantina_Karantinabefore</t>
  </si>
  <si>
    <t>02:44</t>
  </si>
  <si>
    <t>2.7_SS_F.45_Karantina_MarriageamongARMS</t>
  </si>
  <si>
    <t>2.8_SS_F.45_Karantina_ViolenceandWomen</t>
  </si>
  <si>
    <t>03:56</t>
  </si>
  <si>
    <t>2.9_SS_F.45_Karantina_deadsister</t>
  </si>
  <si>
    <t>01:20</t>
  </si>
  <si>
    <t>2.10_SS_F.45_Karantina_Storyneighbor</t>
  </si>
  <si>
    <t>2.11_SS_F.45_Karantina_Storydeadpeople</t>
  </si>
  <si>
    <t>2.12_SS_F.45_Karantina_Exfiancee</t>
  </si>
  <si>
    <t>00:37</t>
  </si>
  <si>
    <t>2.13_SS_F.45_Karantina_Exfiancee2</t>
  </si>
  <si>
    <t>02:02</t>
  </si>
  <si>
    <t>JS_F.19_Karantina_all</t>
  </si>
  <si>
    <t>Lebanon Fieldwork Campaign Claudia Laaber 2022</t>
  </si>
  <si>
    <t>13:42</t>
  </si>
  <si>
    <t>01_S1_M.23_M.26_M.34_shabab</t>
  </si>
  <si>
    <t>22:17</t>
  </si>
  <si>
    <t>Session 1 – M (23), M (26), M (34) – Shabab</t>
  </si>
  <si>
    <t>01_AD_F.67_Naameh_Maslaxbefore1</t>
  </si>
  <si>
    <t>Naameh</t>
  </si>
  <si>
    <t>02_AD_F.67_Naameh_Maslaxbefore2</t>
  </si>
  <si>
    <t>03:09</t>
  </si>
  <si>
    <t>03_AD_F.67_Naameh_Maslaxbefore3</t>
  </si>
  <si>
    <t>02:37</t>
  </si>
  <si>
    <t>04_AD_F.67_Naameh_Maslaxbefore4</t>
  </si>
  <si>
    <t>01:53</t>
  </si>
  <si>
    <t>05_AD_F.67_Naameh_Maslaxbefore5</t>
  </si>
  <si>
    <t>04:35</t>
  </si>
  <si>
    <t>06_AD_F.67_Naameh_Maslaxbefore6</t>
  </si>
  <si>
    <t>02:28</t>
  </si>
  <si>
    <t>07_AD_F.67_Naameh_Maslakhbefore7</t>
  </si>
  <si>
    <t>02:50</t>
  </si>
  <si>
    <t>01_XX_F.59_Naameh_intro</t>
  </si>
  <si>
    <t>03:27</t>
  </si>
  <si>
    <t>02_XX_F.59_Naameh_arms</t>
  </si>
  <si>
    <t>01_RD_M.61_Khalde_PreservingBedouinTraditions</t>
  </si>
  <si>
    <t>Khalde</t>
  </si>
  <si>
    <t>02_RD_M.61_Khalde_MarriageandConflictresolution</t>
  </si>
  <si>
    <t>01:35</t>
  </si>
  <si>
    <t>03_RD_M.61_Khalde_DialectandAuthenticity</t>
  </si>
  <si>
    <t>04_RD_M.61_Khalde_KarmwQarn</t>
  </si>
  <si>
    <t>1:32</t>
  </si>
  <si>
    <t>05_RD_M.61_Khalde_ArabLubnan.Identity.Seminomadism</t>
  </si>
  <si>
    <t>07_RD_M.61_Khalde_CustomsTribes_OralLiterature</t>
  </si>
  <si>
    <t>08_RD_M.61_Khalde_OurPoems</t>
  </si>
  <si>
    <t>5:26</t>
  </si>
  <si>
    <t>09_RD_M.61_Khalde_khashm_purityofBedouinArabic</t>
  </si>
  <si>
    <t>10_RD_M.61_Khalde_HistoryofArabs</t>
  </si>
  <si>
    <t>6:52</t>
  </si>
  <si>
    <t>11_RD_M.61_Khalde_MixingofArab_storyCousin</t>
  </si>
  <si>
    <t>09:29</t>
  </si>
  <si>
    <t>12_RD_M.61_Khalde_Claudiaghazal</t>
  </si>
  <si>
    <t>0:23</t>
  </si>
  <si>
    <t>13_RD_M.61_Khalde_IdeologiesQAFandArabicGrammarQuran</t>
  </si>
  <si>
    <t>3:58</t>
  </si>
  <si>
    <t>01_HD_M.31_Khalde_QuestionnairegrammarPart1</t>
  </si>
  <si>
    <t>46:53</t>
  </si>
  <si>
    <t>02_HD_M.31_Khalde_QuestionnairegrammarPart2</t>
  </si>
  <si>
    <t>03:12</t>
  </si>
  <si>
    <t>03_HD_M.31_Khalde_QuestionnairegrammarPart3_akalparadigms_ipfv3plmdiscussion</t>
  </si>
  <si>
    <t>04_HD_M.31_Khalde_QuestionnairegrammarPart4</t>
  </si>
  <si>
    <t>05_HD_M.31_Khalde_QuestionnairegrammarPart5_ntaparadigms</t>
  </si>
  <si>
    <t>06_HD_M.31_Khalde_QuestionnairegrammarPart6</t>
  </si>
  <si>
    <t>12:33</t>
  </si>
  <si>
    <t>07_HD_M.31_Khalde_QuestionnairegrammarPart7</t>
  </si>
  <si>
    <t>08_HD_M.31_Khalde_imitations</t>
  </si>
  <si>
    <t>09_HD_M.31_Khalde_QuestionnairevisualPart1</t>
  </si>
  <si>
    <t>06:14</t>
  </si>
  <si>
    <t>10_HD_M.31_Khalde_QuestionnairevisualPart2_tocomeparadigm</t>
  </si>
  <si>
    <t>01:22</t>
  </si>
  <si>
    <t>11_HD_M.31_Khalde_QuestionnairevisualPart3_tarakdashar3af</t>
  </si>
  <si>
    <t>12_HD_M.31_Khalde_QuestionnairevisualPart4_actioncards</t>
  </si>
  <si>
    <t>08:40</t>
  </si>
  <si>
    <t>01_BL_M.41_Marj_Bedouinsociety_history</t>
  </si>
  <si>
    <t>19:47</t>
  </si>
  <si>
    <t>El Marj</t>
  </si>
  <si>
    <t>02_BL_M.41_Marj_Islamictraditions_Nasab_visualelicitation</t>
  </si>
  <si>
    <t>32:33</t>
  </si>
  <si>
    <t>03_SL_M.50_Marj_Visualelicitation</t>
  </si>
  <si>
    <t>07:19</t>
  </si>
  <si>
    <t>01_MN_F.61_HaouchelHarime_Intro_traditions</t>
  </si>
  <si>
    <t>22:28</t>
  </si>
  <si>
    <t>Haouch El Harime</t>
  </si>
  <si>
    <t>02_MN_F.61_MH_F.64_HaouchelHarime_bodyparts</t>
  </si>
  <si>
    <t>03_MN_F.61_MH_F.64_HaouchelHarime_visualelicitation_questionnaire</t>
  </si>
  <si>
    <t>54:23</t>
  </si>
  <si>
    <t>04_AS_M.71_HaouchelHarime_free</t>
  </si>
  <si>
    <t>20:24</t>
  </si>
  <si>
    <t>05_AS_M.71_HaouchelHarime_questionnaire</t>
  </si>
  <si>
    <t>26:09</t>
  </si>
  <si>
    <t>06_LF_M.66_HaouchelHarime_freespeech</t>
  </si>
  <si>
    <t>07_LF_M.66_HaouchelHarime_freespeech2</t>
  </si>
  <si>
    <t>08_LF_M.66_HaouchelHarime_freespeech3</t>
  </si>
  <si>
    <t>01_NH_M.51_MH_M.80_NabaaalFaour_questionnaire</t>
  </si>
  <si>
    <t>31:57</t>
  </si>
  <si>
    <t>Nabaa el Faaour</t>
  </si>
  <si>
    <t>02_NH_M.51_MH_M.80_NabaaalFaour_free</t>
  </si>
  <si>
    <t>09:49</t>
  </si>
  <si>
    <t>03_NH_M.51_NabaaalFaour_bodyparts_free</t>
  </si>
  <si>
    <t>Other elicitations</t>
  </si>
  <si>
    <t>04_NH_M.51_NabaaalFaour_free</t>
  </si>
  <si>
    <t>00:53</t>
  </si>
  <si>
    <t>05_MH_M.80_NabaaalFaour_questionnaire</t>
  </si>
  <si>
    <t>15:26</t>
  </si>
  <si>
    <t>06_SH_49_IH_F.50_DG_F.37_NabaaalFaour_womenstalk</t>
  </si>
  <si>
    <t>40:52</t>
  </si>
  <si>
    <t>01_WS_M.68_HS_M.31_Beirut_Mazraa_free1</t>
  </si>
  <si>
    <t>01:03:20</t>
  </si>
  <si>
    <t>Beirut</t>
  </si>
  <si>
    <t>02_WS_M.68_HS_M.31_Beirut_Mazraa_free2</t>
  </si>
  <si>
    <t>01:07:20</t>
  </si>
  <si>
    <t>01_SA_M.56_FA_F.42_South_Bourghliyeh_free1</t>
  </si>
  <si>
    <t>01:08:00</t>
  </si>
  <si>
    <t>Bourghliyeh</t>
  </si>
  <si>
    <t>02_SA_M.56_FA_F.42_South_Bourghliyeh_free2</t>
  </si>
  <si>
    <t>09:08</t>
  </si>
  <si>
    <t>03_NM_F.56_South_Bourghliyeh_free</t>
  </si>
  <si>
    <t>58:33</t>
  </si>
  <si>
    <t>04_NM_F.56_South_Bourghliyeh_free2</t>
  </si>
  <si>
    <t>12:10</t>
  </si>
  <si>
    <t>05_HK_M.57_South_Marouahine_free</t>
  </si>
  <si>
    <t>Marouahine</t>
  </si>
  <si>
    <t>06_HK_M.57_South_Marouahine_freejokes</t>
  </si>
  <si>
    <t>07_HK_M.57_South_Marouahine_questionnaire</t>
  </si>
  <si>
    <t>38:35</t>
  </si>
  <si>
    <t>01_AM_F.65_Dhaira_free</t>
  </si>
  <si>
    <t>04:06</t>
  </si>
  <si>
    <t>Ed Dhaïra</t>
  </si>
  <si>
    <t>02_AM_F.65_Dhaira_free2</t>
  </si>
  <si>
    <t>03_AM_F.65_Dhaira_free3</t>
  </si>
  <si>
    <t>04_AM_F.65_Dhaira_questionnaire</t>
  </si>
  <si>
    <t>29:10</t>
  </si>
  <si>
    <t>05_AM_F.65_NA_M.37_Dhaira_questionnarieandfree</t>
  </si>
  <si>
    <t>1:11:46</t>
  </si>
  <si>
    <t>01_SM_M.87_Qalamun_free</t>
  </si>
  <si>
    <t>07:31</t>
  </si>
  <si>
    <t>Qalamun</t>
  </si>
  <si>
    <t>02_SG_F.86_Qalamun_free</t>
  </si>
  <si>
    <t>30:12</t>
  </si>
  <si>
    <t>03_SG_F.86_Qalamun_free2</t>
  </si>
  <si>
    <t>04_SG_F.86_Qalamun_free3</t>
  </si>
  <si>
    <t>01_JOR_Bani_Saxar_Qasr_Amra_Tribal_Traditions</t>
  </si>
  <si>
    <t>Jordan Fieldwork Campaign Antonella Torzullo 2021 OEAW</t>
  </si>
  <si>
    <t>51:39</t>
  </si>
  <si>
    <t>Antonella Torzullo</t>
  </si>
  <si>
    <t>Qaṣr 'Amrah</t>
  </si>
  <si>
    <t>Jordan – Bani Saxar – Qasr Amra – Tribal Traditions</t>
  </si>
  <si>
    <t>02_JOR_Bani_Saxar_Rujm_Ash_Shami_family_wedding_food_recipes</t>
  </si>
  <si>
    <t>Jordan Fieldwork Campaign Antonella Torzullo 2022 OEAW</t>
  </si>
  <si>
    <t>22:00</t>
  </si>
  <si>
    <t>Rujm ash-Shāmī al-Gharbī</t>
  </si>
  <si>
    <t>Jordan – Bani Saxar – Rujm Ash Shami – Family; Wedding; Food Recipes</t>
  </si>
  <si>
    <t>03_JOR_Bani_Saxar_Story_Tribal_History</t>
  </si>
  <si>
    <t>Natl</t>
  </si>
  <si>
    <t>Jordan – Bani Saxar – Story; Tribal History</t>
  </si>
  <si>
    <t>04_JOR_Bani_Saxar_Personal_Stories_StoryRelative_food_recipes</t>
  </si>
  <si>
    <t>22:13</t>
  </si>
  <si>
    <t>Jordan – Bani Saxar – Personal Stories; Story of Relative; Food Recipes</t>
  </si>
  <si>
    <t>05_JOR_Bani_Saxar_Tribal_History_Wars_Camels</t>
  </si>
  <si>
    <t>47:33</t>
  </si>
  <si>
    <t>Umm ar Raṣāṣ</t>
  </si>
  <si>
    <t>Jordan – Bani Saxar – Tribal History; Wars; Camels</t>
  </si>
  <si>
    <t>06_JOR_Bani_Saxar_Questionnaire_Hgesh_Part_1</t>
  </si>
  <si>
    <t>Jordan Fieldwork Campaign Antonella Torzullo 2023</t>
  </si>
  <si>
    <t>45:19</t>
  </si>
  <si>
    <t>Jordan – Bani Saxar – Questionnaire (Hgesh) (Part 1)</t>
  </si>
  <si>
    <t>07_JOR_Bani_Saxar_Questionnaire_Hgesh_Part_2</t>
  </si>
  <si>
    <t>24:38</t>
  </si>
  <si>
    <t>Jordan – Bani Saxar – Questionnaire (Hgesh) (Part 2)</t>
  </si>
  <si>
    <t>08_JOR_Bani_Saxar_Questionnaire_Hgesh_Part_3</t>
  </si>
  <si>
    <t>35:42</t>
  </si>
  <si>
    <t>Jordan – Bani Saxar – Questionnaire (Hgesh) (Part 3)</t>
  </si>
  <si>
    <t>09_JOR_Bani_Saxar_Questionnaire_Khader_Part_1</t>
  </si>
  <si>
    <t>36:57</t>
  </si>
  <si>
    <t>Arabic script used for analysis</t>
  </si>
  <si>
    <t>Jordan – Bani Saxar – Questionnaire (Khader) (Part 1)</t>
  </si>
  <si>
    <t>10_JOR_Bani_Saxar_Questionnaire_Khader_Part_2</t>
  </si>
  <si>
    <t>33:25</t>
  </si>
  <si>
    <t>Jordan – Bani Saxar – Questionnaire (Khader) (Part 2)</t>
  </si>
  <si>
    <t>11_JOR_Bani_Saxar_Questionnaire_Khader_Part_3</t>
  </si>
  <si>
    <t>Jordan – Bani Saxar – Questionnaire (Khader) (Part 3)</t>
  </si>
  <si>
    <t>12_JOR_Bani_Saxar_Questionnaire_Khader_Part_4</t>
  </si>
  <si>
    <t>27:35</t>
  </si>
  <si>
    <t>Jordan – Bani Saxar – Questionnaire (Khader) (Part 4)</t>
  </si>
  <si>
    <t>13_JOR_Bani_Saxar_Questionnaire_Khader_Part_5</t>
  </si>
  <si>
    <t>23:03</t>
  </si>
  <si>
    <t>Jordan – Bani Saxar – Questionnaire (Khader) (Part 5)</t>
  </si>
  <si>
    <t>14_JOR_Bani_Saxar_Nitl_Expressions_Zeben</t>
  </si>
  <si>
    <t> </t>
  </si>
  <si>
    <t>19:22</t>
  </si>
  <si>
    <t>Jordan – Bani Saxar – Niṭl Expressions (Zeben)</t>
  </si>
  <si>
    <t>15_JOR_Bani_Saxar_Nitl_Expressions_Verbs_Grammar_Zeben</t>
  </si>
  <si>
    <t>05:02</t>
  </si>
  <si>
    <t>Jordan – Bani Saxar – Niṭl Expressions: Verbs; Grammar (Zeben)</t>
  </si>
  <si>
    <t>16_JOR_Bani_Saxar_Rujm_Ash_Shami_traditions_wedding_clothes_song</t>
  </si>
  <si>
    <t>43:07</t>
  </si>
  <si>
    <t>Jordan – Bani Saxar – Rujm Ash Shami – Traditions; Wedding; Clothes; Song</t>
  </si>
  <si>
    <t>17_JOR_Bani_Saxar_Zaytunah_University_Tribal_Stories_TwagaStory_DahameshStory_Poems</t>
  </si>
  <si>
    <t>01:28:30</t>
  </si>
  <si>
    <t>Jordan – Bani Saxar – Zaytunah University – Tribal Stories: Twaga; Dahamesh; Poems</t>
  </si>
  <si>
    <t>18_JOR_Bani_Saxar_Qasr_Amra_Stories_Jokes</t>
  </si>
  <si>
    <t>45:47</t>
  </si>
  <si>
    <t>Jordan – Bani Saxar – Qasr Amra – Stories; Jokes</t>
  </si>
  <si>
    <t>19_JOR_Bani_Saxar_Dleyla_Recepies_Stories_Group_of_Women</t>
  </si>
  <si>
    <t>01:25:50</t>
  </si>
  <si>
    <t>Jordan – Bani Saxar – Dleyla – Recipes; Stories (Group of Women)</t>
  </si>
  <si>
    <t>20_JOR_Bani_Saxar_ThreeZebenWomen</t>
  </si>
  <si>
    <t>01:40:46</t>
  </si>
  <si>
    <t>Recorded by third party - handed in 2023</t>
  </si>
  <si>
    <t>Jordan – Bani Saxar – Three Zeben Women</t>
  </si>
  <si>
    <t>21_JOR_Bani_Saxar_Irbid</t>
  </si>
  <si>
    <t>49:07</t>
  </si>
  <si>
    <t>Irbid</t>
  </si>
  <si>
    <t>Recorded by third party - handed in 2022</t>
  </si>
  <si>
    <t>Jordan – Bani Saxar – Irbid</t>
  </si>
  <si>
    <t>22_JOR_Bani_Saxar_Msetba_Old_Sisters</t>
  </si>
  <si>
    <t>02:07:31</t>
  </si>
  <si>
    <t>Jordan – Bani Saxar – Msetba – Elder Sisters</t>
  </si>
  <si>
    <t>MOR_Shawiya_Beni_Mesnawi_agriculture_and_marriages_in_the_past_2022</t>
  </si>
  <si>
    <t>Morocco Fieldwork Campaign Terlan Djavadova 2022</t>
  </si>
  <si>
    <t>Terlan Djavadova</t>
  </si>
  <si>
    <t>Morocco</t>
  </si>
  <si>
    <t>Morocco – Shawiya – Beni Mesnawi – Agriculture and Marriages in the Past (2022)</t>
  </si>
  <si>
    <t>MOR_Shawiya_Beni_Mesnawi_3_interview_with_grandmother_2022</t>
  </si>
  <si>
    <t>09:59</t>
  </si>
  <si>
    <t>Morocco – Shawiya – Beni Mesnawi – Interview with Grandmother (3) (2022)</t>
  </si>
  <si>
    <t>MOR_Shawiya_Beni_Mesnawi_2_feasts_2022</t>
  </si>
  <si>
    <t>Morocco – Shawiya – Beni Mesnawi – Feasts (2) (2022)</t>
  </si>
  <si>
    <t>MOR_Zaer_AinAouda_women_2024</t>
  </si>
  <si>
    <t>19:37</t>
  </si>
  <si>
    <t>Morocco – Zaer – Ain Aouda – Women (2024)</t>
  </si>
  <si>
    <t>MOR_Zaer_Ain_Aouda_1_life_and_agriculture_in_the_region_2022</t>
  </si>
  <si>
    <t>20:00</t>
  </si>
  <si>
    <t>Morocco – Zaer – Ain Aouda (1) – Life and Agriculture in the Region (2022)</t>
  </si>
  <si>
    <t>MOR_Shawiya_BeniMesnawi_Haynas_story_2023</t>
  </si>
  <si>
    <t>Morocco Fieldwork Campaign Terlan Djavadova 2023</t>
  </si>
  <si>
    <t>10:00</t>
  </si>
  <si>
    <t>Morocco – Shawiya – Beni Mesnawi – Hayna’s Story (2023)</t>
  </si>
  <si>
    <t>MOR_Zaer_Faytat_her_daughters_sickness_2024</t>
  </si>
  <si>
    <t>Morocco – Zaer – Faytat – Her Daughter’s Sickness (2024)</t>
  </si>
  <si>
    <t>MOR_Shawiya_Mzab_l-Alwa_2022</t>
  </si>
  <si>
    <t>Morocco – Shawiya – Mzab – l-Alwa (2022)</t>
  </si>
  <si>
    <t>MOR_Zaer_Rommani_TribeGhwalem_worker_life_and_a_joke_2023</t>
  </si>
  <si>
    <t>Morocco – Zaer – Rommani – Tribe Ghwalem – Worker Life and a Joke (2023)</t>
  </si>
  <si>
    <t>MOR_Zaer_Had-l-Ghwalem_WWII_colonialism_2022</t>
  </si>
  <si>
    <t>15:00</t>
  </si>
  <si>
    <t>Morocco – Zaer – Had l-Ghwalem – WWII; Colonialism (2022)</t>
  </si>
  <si>
    <t>MOR_Shawiya_AinLqsab_Beni Wra_how agriculture changed_2024</t>
  </si>
  <si>
    <t>Morocco Fieldwork Campaign Terlan Djavadova 2024</t>
  </si>
  <si>
    <t>MOR_Shawiya_Ain-l-Qsab_Beni-Wra_xurafa_2023</t>
  </si>
  <si>
    <t>MOR_Shawiya_AinlQsab_BeniWra_funerals__2023</t>
  </si>
  <si>
    <t>MOR_Shawiya_BeniMesnawi_birth_2024</t>
  </si>
  <si>
    <t>MOR_Shawiya_BeniMesnawi_shekwa_2024</t>
  </si>
  <si>
    <t>MOR_Zaer_BeniMeskin_Xwarin_agriculture_man_2024</t>
  </si>
  <si>
    <t>MOR_Zaer_Rommani_Duwar hdahda_tata_2023</t>
  </si>
  <si>
    <t>MOR_Zaer_BeniMeskin_Xwarin_Azzazba_2024</t>
  </si>
  <si>
    <t>MOR_Zaer_Ribaa_women about life on the countryside_2023</t>
  </si>
  <si>
    <t>MOR_Zaer_Tawzi3_a_womens_life_village_2024</t>
  </si>
  <si>
    <t>MOR_Shawiya_BeniMesnawi_qabla_2024_2</t>
  </si>
  <si>
    <t>MOR_Shawiya_ElGarra_a fathers story about the death of his sons_2023</t>
  </si>
  <si>
    <t>SUD_2023_Speaker1_qasida_1</t>
  </si>
  <si>
    <t>Sudan Fieldwork Campaign Stanley Kochem 2023</t>
  </si>
  <si>
    <t>03:19</t>
  </si>
  <si>
    <t>Stanley Kochem</t>
  </si>
  <si>
    <t>Mwes</t>
  </si>
  <si>
    <t>SUD_2023_Speaker1_qasida_2</t>
  </si>
  <si>
    <t>SUD_2023_Speaker2_qasida</t>
  </si>
  <si>
    <t>00:58</t>
  </si>
  <si>
    <t>SUD_2023_Speaker3_phone call</t>
  </si>
  <si>
    <t>Shendi</t>
  </si>
  <si>
    <t>SUD_2023_Speaker4_numbers</t>
  </si>
  <si>
    <t>SUD_2023_Speaker4_verbs_1</t>
  </si>
  <si>
    <t>07:05</t>
  </si>
  <si>
    <t>SUD_2023_Speaker4_verbs_2</t>
  </si>
  <si>
    <t>SUD_2023_Speaker5_history</t>
  </si>
  <si>
    <t>13:54</t>
  </si>
  <si>
    <t>forename</t>
  </si>
  <si>
    <t>surname</t>
  </si>
  <si>
    <t>affiliation.Element:Text</t>
  </si>
  <si>
    <t>http://www.w3.org/XML/1998/namespace.Attribute:id</t>
  </si>
  <si>
    <t>Attribute:role</t>
  </si>
  <si>
    <t>note</t>
  </si>
  <si>
    <t>persName</t>
  </si>
  <si>
    <t>Stephan</t>
  </si>
  <si>
    <t>Procházka</t>
  </si>
  <si>
    <t>University of Vienna, Department of Near Eastern Studies</t>
  </si>
  <si>
    <t>SP</t>
  </si>
  <si>
    <t>Principal investigator</t>
  </si>
  <si>
    <t>Maria Rebecca</t>
  </si>
  <si>
    <t>Zarb</t>
  </si>
  <si>
    <t>RZ</t>
  </si>
  <si>
    <t>Prae-doc researcher</t>
  </si>
  <si>
    <t xml:space="preserve">deals with the dialect of the Rašāyda bedouins namely in Saudi Arabia and Kuwait. WP1 </t>
  </si>
  <si>
    <t>Johanna</t>
  </si>
  <si>
    <t>Doppelbauer</t>
  </si>
  <si>
    <t>JD</t>
  </si>
  <si>
    <t>Pre-MA researcher</t>
  </si>
  <si>
    <t xml:space="preserve">collection of data for the database. This includes finding information regarding Bedouin dialects from already published sources and, once the database is operational, feeding it with the information accumulated on the subject, along with the data that will be collected by the other researchers in the course of the project. WP4 </t>
  </si>
  <si>
    <t>Johanna Doppelbauer</t>
  </si>
  <si>
    <t>Stanley</t>
  </si>
  <si>
    <t>Kochem</t>
  </si>
  <si>
    <t>SK</t>
  </si>
  <si>
    <t>Ana</t>
  </si>
  <si>
    <t>Iriarte Díez</t>
  </si>
  <si>
    <t>AID</t>
  </si>
  <si>
    <t>Post-doc researcher</t>
  </si>
  <si>
    <t>works on language and dialect contact and historical linguistics and language change WP5, WP6</t>
  </si>
  <si>
    <t>Gisela</t>
  </si>
  <si>
    <t>Kitzler</t>
  </si>
  <si>
    <t>GiK</t>
  </si>
  <si>
    <t>works on the perception of bedouin varieties in Egypt with a focus on Sinai, as well as accommodation between bedouin and non-bedouin varieties in tourist areas in South Sinai. In Addition, she is responsible for the coordination of the project WP2</t>
  </si>
  <si>
    <t>Gisela Kitzler</t>
  </si>
  <si>
    <t>Antonella</t>
  </si>
  <si>
    <t>Torzullo</t>
  </si>
  <si>
    <t>AT</t>
  </si>
  <si>
    <t>works on the Arabic dialect of the Bani Saxar tribe in Jordan WP1</t>
  </si>
  <si>
    <t>Terlan</t>
  </si>
  <si>
    <t>Djavadova</t>
  </si>
  <si>
    <t>TD</t>
  </si>
  <si>
    <t>deals with the Bedouin dialects of the ZAer and Chouia in Morocco and their influence on the Moroccan Koina WP1</t>
  </si>
  <si>
    <t>Claudia</t>
  </si>
  <si>
    <t>Laaber</t>
  </si>
  <si>
    <t>CL</t>
  </si>
  <si>
    <t>works on language attitudes towards Bedouin Arabic WP2</t>
  </si>
  <si>
    <t>Gunda</t>
  </si>
  <si>
    <t>Kinzl</t>
  </si>
  <si>
    <t>GuK</t>
  </si>
  <si>
    <t>works on a grammatical description of the Rashayda Bedouins’ dialect in Saudi Arabia and Sudan WP1</t>
  </si>
  <si>
    <t>Veronika</t>
  </si>
  <si>
    <t>Engler</t>
  </si>
  <si>
    <t>Austrian Academy of Sciences, ACDH-CH</t>
  </si>
  <si>
    <t>VE</t>
  </si>
  <si>
    <t>Technical Staff</t>
  </si>
  <si>
    <t>collection of data for the database. This includes finding information regarding Bedouin dialects from already published sources and, once the database is operational, feeding it with the information accumulated on the subject, along with the data that will be collected by the other researchers in the course of the project.</t>
  </si>
  <si>
    <t>Veronika Engler</t>
  </si>
  <si>
    <t>Philipp</t>
  </si>
  <si>
    <t>Hessabi</t>
  </si>
  <si>
    <t>PH</t>
  </si>
  <si>
    <t>Philipp Hessabi</t>
  </si>
  <si>
    <t>Kadir</t>
  </si>
  <si>
    <t>Mustafaoglu</t>
  </si>
  <si>
    <t>AKM</t>
  </si>
  <si>
    <t>Kadir Mustafaoglu</t>
  </si>
  <si>
    <t>Charly</t>
  </si>
  <si>
    <t>Mörth</t>
  </si>
  <si>
    <t>CM</t>
  </si>
  <si>
    <t>National Project Partner</t>
  </si>
  <si>
    <t>Charly Mörth</t>
  </si>
  <si>
    <t>Angelika</t>
  </si>
  <si>
    <t>Hechtl</t>
  </si>
  <si>
    <t>AH</t>
  </si>
  <si>
    <t>Angelika Hechtl</t>
  </si>
  <si>
    <t>Kinga</t>
  </si>
  <si>
    <t>Sramó</t>
  </si>
  <si>
    <t>KS</t>
  </si>
  <si>
    <t>works on transforming the linguistic data from the database into a visual representation (map)</t>
  </si>
  <si>
    <t>Kinga Sramó</t>
  </si>
  <si>
    <t>Daniel</t>
  </si>
  <si>
    <t>Schopper</t>
  </si>
  <si>
    <t>DS</t>
  </si>
  <si>
    <t>Senior Technical Consultant</t>
  </si>
  <si>
    <t>senior advisor on TEI modelling, head of working group Data@ACDH-CH; MS Teams and sharepoint admin</t>
  </si>
  <si>
    <t>Daniel Schopper</t>
  </si>
  <si>
    <t>Maura Zsófia</t>
  </si>
  <si>
    <t>Abraham</t>
  </si>
  <si>
    <t>MA</t>
  </si>
  <si>
    <t>Technical Consultant</t>
  </si>
  <si>
    <t xml:space="preserve">works on the SHAWI and TUNOCENT projects. We try to keep technical developments in all three projects in sync with each other, so she will participate / advise on relevant points. </t>
  </si>
  <si>
    <t>Maura Zsófia Abraham</t>
  </si>
  <si>
    <t>Omar</t>
  </si>
  <si>
    <t>Siam</t>
  </si>
  <si>
    <t>OS</t>
  </si>
  <si>
    <t>senior advisor, system administrator at ACDH-CH, technical supervisor for the VICAV infrastructure</t>
  </si>
  <si>
    <t>Omar Siam</t>
  </si>
  <si>
    <t>DO NOT EDIT</t>
  </si>
  <si>
    <t xml:space="preserve">The content of this sheet is fetched from 010_manannot/wibarab_dmp.xml </t>
  </si>
  <si>
    <t>Description</t>
  </si>
  <si>
    <t>initial state, nothing has been done with this recording</t>
  </si>
  <si>
    <t>anonymized</t>
  </si>
  <si>
    <t>the recording has been checked for sensitive data and been anonymized (beeped) - THIS IS NECESSARY BEFORE BEING ABLE TO PROCESS THE DATA</t>
  </si>
  <si>
    <t>the text has been transcribed in ELAN</t>
  </si>
  <si>
    <t>glossed</t>
  </si>
  <si>
    <t>the text has been glossed (optional)</t>
  </si>
  <si>
    <t>the text has been translated (optional)</t>
  </si>
  <si>
    <t>ready for processing</t>
  </si>
  <si>
    <t>the text is ready for being transformed to TEI</t>
  </si>
  <si>
    <t>ready for publication</t>
  </si>
  <si>
    <t>the text can be published</t>
  </si>
  <si>
    <t>CONSENT</t>
  </si>
  <si>
    <t>Gender</t>
  </si>
  <si>
    <t>Year of Birth</t>
  </si>
  <si>
    <t>Age Group</t>
  </si>
  <si>
    <t>Age Group Comment</t>
  </si>
  <si>
    <t>Languages</t>
  </si>
  <si>
    <t>Place of Origin</t>
  </si>
  <si>
    <t>Note</t>
  </si>
  <si>
    <t>Recordings</t>
  </si>
  <si>
    <t>Tribe</t>
  </si>
  <si>
    <t>Mother origin</t>
  </si>
  <si>
    <t>Cattle-related business</t>
  </si>
  <si>
    <t>Education</t>
  </si>
  <si>
    <t>Speaker Label</t>
  </si>
  <si>
    <t>SAU_2022_Speaker10</t>
  </si>
  <si>
    <t>YES</t>
  </si>
  <si>
    <t>F</t>
  </si>
  <si>
    <t>1990s</t>
  </si>
  <si>
    <t>30s</t>
  </si>
  <si>
    <t>Saudi Arabia</t>
  </si>
  <si>
    <t>She has one recording, the marriage audio. I have split this into _marriage_1 and marriage_2</t>
  </si>
  <si>
    <t>Rašāyda</t>
  </si>
  <si>
    <t>SAU_2022_Speaker20</t>
  </si>
  <si>
    <t>M</t>
  </si>
  <si>
    <t>70s</t>
  </si>
  <si>
    <t>SAU_2022_Speaker19</t>
  </si>
  <si>
    <t>50s</t>
  </si>
  <si>
    <t>No metadata but we have consent</t>
  </si>
  <si>
    <t>SAU_2022_CulturalInformant</t>
  </si>
  <si>
    <t>NO</t>
  </si>
  <si>
    <t>no information or consent on this guy</t>
  </si>
  <si>
    <t>SAU_2022_Speaker9</t>
  </si>
  <si>
    <t>60s</t>
  </si>
  <si>
    <t>abs chief, head of rabtat abs, accompanied gunda on all the trips, appears in almost all audios expect for the ones conducted with women</t>
  </si>
  <si>
    <t>university, he is a doctor</t>
  </si>
  <si>
    <t>SAU_2022_UnknownMarketSeller</t>
  </si>
  <si>
    <t xml:space="preserve">60s </t>
  </si>
  <si>
    <t>no metadata, no consent</t>
  </si>
  <si>
    <t>SAU_2022_Speaker14</t>
  </si>
  <si>
    <t>40s</t>
  </si>
  <si>
    <t>teacher living in Khaybar, very bubbly woman, mother, very interested in culture and the arts</t>
  </si>
  <si>
    <t>SAU_2022_SpeakerUnknown</t>
  </si>
  <si>
    <t>20s</t>
  </si>
  <si>
    <t>seems to be a daughter of SAU_2022_Speaker14, no information or consent from her</t>
  </si>
  <si>
    <t>SAU_2022_Gunda</t>
  </si>
  <si>
    <t>SAU_2022_DaughterofSheikh2</t>
  </si>
  <si>
    <t>daughter of SAU_2022_Speaker9, no consent</t>
  </si>
  <si>
    <t>SAU_2022_Speaker34</t>
  </si>
  <si>
    <t xml:space="preserve">wife of SAU_2022_Speaker 9 and mother of _DaughterSheikh1/2, no consent </t>
  </si>
  <si>
    <t>SAU_2022_Speaker37</t>
  </si>
  <si>
    <t>Rašāyda, ʕArʕar</t>
  </si>
  <si>
    <t>SAU_2022_Speaker23</t>
  </si>
  <si>
    <t>Daughter of SAU_2022_Speaker37</t>
  </si>
  <si>
    <t>SAU_2022_Speaker16</t>
  </si>
  <si>
    <t>Sister of SAU_2022_Speaker14;  estimated birth year. Very modern woman , but aware of traditions. Knows very well how to roast coffee and showed me how to do it while also explaining some traditional dishes. Gunda has photos and a video, she wears a modern interpretation of the Niqab for the photos.</t>
  </si>
  <si>
    <t>SAU_2022_Weaver1</t>
  </si>
  <si>
    <t xml:space="preserve">Two old ladies were invited to the house to show us traditional weaving. They are paid by the government to give workshops on this and also sell what they make. They expect to be paid for showing their craft and are proud of being licensed by the government.  </t>
  </si>
  <si>
    <t>SAU_2022_Weaver2</t>
  </si>
  <si>
    <t>Two old ladies were invited to the house to show us traditional weaving. They are paid by the government to give workshops on this and also sell what they make. They expect to be paid for showing their craft and are proud of being licensed by the government.</t>
  </si>
  <si>
    <t>SAU_2022_Speaker22</t>
  </si>
  <si>
    <t xml:space="preserve">tourguide affiliated with a ministry </t>
  </si>
  <si>
    <t>Bani Xāled</t>
  </si>
  <si>
    <t>SAU_2022_Speaker46</t>
  </si>
  <si>
    <t>brother of SAU_2022_Speaker22, also tourguide</t>
  </si>
  <si>
    <t>SAU_2022_Speaker12</t>
  </si>
  <si>
    <t>poet and owner of multiple stables</t>
  </si>
  <si>
    <t>high</t>
  </si>
  <si>
    <t>SAU_2022_Speaker42</t>
  </si>
  <si>
    <t>no information</t>
  </si>
  <si>
    <t xml:space="preserve">poet </t>
  </si>
  <si>
    <t>high school</t>
  </si>
  <si>
    <t>SAU_2022_Speaker8</t>
  </si>
  <si>
    <t>doctor of literature</t>
  </si>
  <si>
    <t>doctorate</t>
  </si>
  <si>
    <t>SAU_2022_Speaker6</t>
  </si>
  <si>
    <t>estimated birth year</t>
  </si>
  <si>
    <t>doctor, affiliated with the ministry</t>
  </si>
  <si>
    <t>SAU_2022_Speaker47</t>
  </si>
  <si>
    <t>in university, daughter of SAU_2022_Speaker9</t>
  </si>
  <si>
    <t>in university</t>
  </si>
  <si>
    <t>SAU_2022_Speaker25</t>
  </si>
  <si>
    <t>poet, very well travelled</t>
  </si>
  <si>
    <t>seems to be highly educated</t>
  </si>
  <si>
    <t>SAU_2022_Speaker43</t>
  </si>
  <si>
    <t>business man</t>
  </si>
  <si>
    <t>SAU_2022_Speaker24</t>
  </si>
  <si>
    <t>SAU_2022_Speaker28</t>
  </si>
  <si>
    <t>80s</t>
  </si>
  <si>
    <t>used to be a nomad, now lives in Khaybar apparently, multiple wives, has 20 living children and about 5 dead ones. he is a poet but very humble about it</t>
  </si>
  <si>
    <t>SAU_2022_Speaker29</t>
  </si>
  <si>
    <t>SAU_2022_Speaker21</t>
  </si>
  <si>
    <t>used to be a soldier</t>
  </si>
  <si>
    <t>SAU_2022_Speaker50</t>
  </si>
  <si>
    <t>do not think he has received education- not sure though</t>
  </si>
  <si>
    <t>SAU_2022_Speaker51</t>
  </si>
  <si>
    <t>SAU_2022_Speaker35</t>
  </si>
  <si>
    <t>SAU_2022_Speaker32</t>
  </si>
  <si>
    <t>from the hijazi region and seems to be very proud of this- he identifies the Rashayda as being hijazi</t>
  </si>
  <si>
    <t>SAU_2022_Speaker44</t>
  </si>
  <si>
    <t>raises falcons</t>
  </si>
  <si>
    <t>SAU_2022_Speaker49</t>
  </si>
  <si>
    <t>SAU_2022_Speaker1</t>
  </si>
  <si>
    <t>rawi for the tribe</t>
  </si>
  <si>
    <t xml:space="preserve">educated in order to be a rawi </t>
  </si>
  <si>
    <t>KUW_2022_Speaker8</t>
  </si>
  <si>
    <t>Kuwait</t>
  </si>
  <si>
    <t>KUW_2022_Speaker12</t>
  </si>
  <si>
    <t>KUW_2022_Speaker16</t>
  </si>
  <si>
    <t>KUW_2022_Speaker17</t>
  </si>
  <si>
    <t>KUW_2022_Speaker3</t>
  </si>
  <si>
    <t>KUW_2022_Speaker6</t>
  </si>
  <si>
    <t>son of KUW_2022_Speaker8</t>
  </si>
  <si>
    <t>KUW_2022_Speaker11</t>
  </si>
  <si>
    <t>KUW_2022_Speaker10</t>
  </si>
  <si>
    <t>very cultivated, friendly man, married to a German woman. Speaks German very well and has lived in Germany. He has travelled far and is a former member of parliament. His son Omar has also been very helpful.</t>
  </si>
  <si>
    <t>KUW_2022_UnknownMan1withSpeaker10</t>
  </si>
  <si>
    <t>man asking questions to Speaker10, seems to be educated and maybe in his 40s-50s, no consent</t>
  </si>
  <si>
    <t>KUW_2022_UnknownMan2withSpeaker10</t>
  </si>
  <si>
    <t>another man asking questions to Speaker10, no consent</t>
  </si>
  <si>
    <t>KUW_2022_Speaker13</t>
  </si>
  <si>
    <t>her daughter is KUW_2022_Speaker14</t>
  </si>
  <si>
    <t>KUW_2022_Speaker14</t>
  </si>
  <si>
    <t>estimated birth year, in her early forties, her father is from SA, her mother is KUW_2022_Speaker13</t>
  </si>
  <si>
    <t>KUW_2022_Speaker4</t>
  </si>
  <si>
    <t>KUW_2022_Speaker9</t>
  </si>
  <si>
    <t>KUW_2022_Gunda</t>
  </si>
  <si>
    <t>KUW_2022_Inas</t>
  </si>
  <si>
    <t>Cairo</t>
  </si>
  <si>
    <t>SAU_2025_Speaker1</t>
  </si>
  <si>
    <t>originally from Hail, his family and 3 young children are still there, but he lives and works in Riyadh, very educated and studied in the USA on scholarship</t>
  </si>
  <si>
    <t>highly educated</t>
  </si>
  <si>
    <t>SAU_2025_Speaker2</t>
  </si>
  <si>
    <t>originally from Hail, studied in USA</t>
  </si>
  <si>
    <t>SAU_2025_Speaker3</t>
  </si>
  <si>
    <t>SAU_2025_Speaker4</t>
  </si>
  <si>
    <t>originally from Thimid / Medina, lives in Riyadh, highly educated and works in IT, lived in USA</t>
  </si>
  <si>
    <t>SAU_2025_Speaker5</t>
  </si>
  <si>
    <t>originally from Hail, lives in Riyadh, highly educated and works in IT, lived in USA</t>
  </si>
  <si>
    <t>SAU_2025_Speaker6</t>
  </si>
  <si>
    <t>1960s</t>
  </si>
  <si>
    <t>the sheikh and leader of the bani ʕabs league, same speaker as SAU_2022_Speaker9</t>
  </si>
  <si>
    <t xml:space="preserve">Rašāyda - ʕawāmra </t>
  </si>
  <si>
    <t>SAU_2025_Speaker7</t>
  </si>
  <si>
    <t xml:space="preserve">from hail, accompanied us and drove us to hait, thimid and khaybar. Very friendly guy, his family is very conservative. I have videos and photos of him. </t>
  </si>
  <si>
    <t xml:space="preserve">Rašāyda </t>
  </si>
  <si>
    <t>SAU_2025_Speaker7_Son</t>
  </si>
  <si>
    <t>10s</t>
  </si>
  <si>
    <t>son of SAU_2025_Speaker7</t>
  </si>
  <si>
    <t>in school</t>
  </si>
  <si>
    <t>SAU_2025_Speaker9</t>
  </si>
  <si>
    <t>1950s-60s</t>
  </si>
  <si>
    <t>estimated</t>
  </si>
  <si>
    <t>from hail</t>
  </si>
  <si>
    <t>SAU_2025_Speaker12</t>
  </si>
  <si>
    <t>1970s</t>
  </si>
  <si>
    <t>educated and well travelled poet of the tribe</t>
  </si>
  <si>
    <t>SAU_2025_Speaker14</t>
  </si>
  <si>
    <t>knows a lot about bedouin tradition</t>
  </si>
  <si>
    <t>SAU_2025_Speaker13</t>
  </si>
  <si>
    <t>a camel herder, lives in the outskirts of Hait</t>
  </si>
  <si>
    <t>basic education</t>
  </si>
  <si>
    <t>SAU_2025_Speaker21</t>
  </si>
  <si>
    <t>1980s</t>
  </si>
  <si>
    <t>very educated and well mannered guy who also met Gunda. He works in Medina but he and his family are situated in Khaybar, Thimid. I took videos of him at the Dam. Unfortunately, he spoke fusha.</t>
  </si>
  <si>
    <t>Rašāyda - Farāsda</t>
  </si>
  <si>
    <t>SAU_2025_Speaker18</t>
  </si>
  <si>
    <t>a teacher, lives in one of the small villages around Hait</t>
  </si>
  <si>
    <t>SAU_2025_Speaker31</t>
  </si>
  <si>
    <t>student about to go to uni, daughter of Speaker6</t>
  </si>
  <si>
    <t>SAU_2025_Speaker41</t>
  </si>
  <si>
    <t>1950s</t>
  </si>
  <si>
    <t>the mustašār of the rābiṭat ʕAbs</t>
  </si>
  <si>
    <t>Rašāyda - ʕawāmra</t>
  </si>
  <si>
    <t>SAU_2025_Speaker42</t>
  </si>
  <si>
    <t>a very old man with a very young wife.</t>
  </si>
  <si>
    <t>Rašāyda - Mahāmza</t>
  </si>
  <si>
    <t>no to little education</t>
  </si>
  <si>
    <t>SAU_2025_Speaker47</t>
  </si>
  <si>
    <t xml:space="preserve">very educated and open guy, a poet, has a very important job involved in culture in jeddah, he is from hail but has been living in jeddah for 15 years. </t>
  </si>
  <si>
    <t>SAU_2025_Rebecca</t>
  </si>
  <si>
    <t>Spain</t>
  </si>
  <si>
    <t>LEB_KAR_2023_NZ_M.73_Speaker1</t>
  </si>
  <si>
    <t>PrW1</t>
  </si>
  <si>
    <t>El-Karantina</t>
  </si>
  <si>
    <t>Naim</t>
  </si>
  <si>
    <t>Lebanese</t>
  </si>
  <si>
    <t>yes</t>
  </si>
  <si>
    <t>no education</t>
  </si>
  <si>
    <t>LEB_KAR_2022_MA_M.71_Speaker2</t>
  </si>
  <si>
    <t>Zraykat</t>
  </si>
  <si>
    <t>primary school</t>
  </si>
  <si>
    <t>LEB_KAR_2022_OD_M.72_Speaker3</t>
  </si>
  <si>
    <t>LEB_KAR_2022_KS_F.68_Speaker4</t>
  </si>
  <si>
    <t>Aransa</t>
  </si>
  <si>
    <t>no</t>
  </si>
  <si>
    <t>LEB_KAR_2022_KS_M.65_Speaker5</t>
  </si>
  <si>
    <t>PrW2</t>
  </si>
  <si>
    <t>LEB_KAR_2022_DZ_F.63_Speaker6</t>
  </si>
  <si>
    <t>Palestinian</t>
  </si>
  <si>
    <t>LEB_KAR_2023_SKh_M.63_Speaker7</t>
  </si>
  <si>
    <t>university</t>
  </si>
  <si>
    <t>LEB_KAR_2023_AS_F.56_Speaker8</t>
  </si>
  <si>
    <t>WD1</t>
  </si>
  <si>
    <t>Sister of F.45, F.46 and F.55</t>
  </si>
  <si>
    <t>LEB_KAR_2023_IS_F.55_Speaker9</t>
  </si>
  <si>
    <t>Sister of F.45, F.46 and F.56</t>
  </si>
  <si>
    <t>LEB_KAR_2023_SS_F.45_Speaker10</t>
  </si>
  <si>
    <t>WD2</t>
  </si>
  <si>
    <t>Sister of F.55, F.46 and F.56, Mother of F.18</t>
  </si>
  <si>
    <t>LEB_KAR_2023_CB_F.18_Speaker11</t>
  </si>
  <si>
    <t>PsW</t>
  </si>
  <si>
    <t>Daugther of F.45</t>
  </si>
  <si>
    <t>LEB_KAR_2022_KZ_M.27_Speaker12</t>
  </si>
  <si>
    <t>LEB_KAR_2022_AA_F.69_Speaker13</t>
  </si>
  <si>
    <t>First wife of M.71</t>
  </si>
  <si>
    <t>LEB_KAR_2022_KD_F.49_Speaker14</t>
  </si>
  <si>
    <t>Daughter of M.72</t>
  </si>
  <si>
    <t>LEB_KAR_2022_AK_F.21_Speaker15</t>
  </si>
  <si>
    <t>Daughter of F.49</t>
  </si>
  <si>
    <t>LEB_KAR_2023_AK_F.16_Speaker16</t>
  </si>
  <si>
    <t>LEB_KAR_2023_NK_F.20_Speaker17</t>
  </si>
  <si>
    <t>Cousin of F.18 and F.16</t>
  </si>
  <si>
    <t>LEB_KAR_2022_JS_F.19_Speaker19</t>
  </si>
  <si>
    <t xml:space="preserve">Daughter of M.65	</t>
  </si>
  <si>
    <t>LEB_KAR_2023_BK_F.57_Speaker20</t>
  </si>
  <si>
    <t>Wife of M.65</t>
  </si>
  <si>
    <t>LEB_KAR_2023_ZK_M.55_Speaker21</t>
  </si>
  <si>
    <t>LEB_KAR_2023_AY_F.44_Speaker22</t>
  </si>
  <si>
    <t>LEB_KAR_2023_AD_M.64_Speaker23</t>
  </si>
  <si>
    <t>LEB_KAR_2023_NH_F.66_Speaker24</t>
  </si>
  <si>
    <t>Owner of a small shop in Karantina</t>
  </si>
  <si>
    <t>LEB_KAR_2023_HS_F.46_Speaker25</t>
  </si>
  <si>
    <t>Sister of F.45, F.55 and F.56</t>
  </si>
  <si>
    <t>LEB_KAR_2023_S1_M.23_Speaker26</t>
  </si>
  <si>
    <t>LEB_KAR_2023_S2_M.26_Speaker27</t>
  </si>
  <si>
    <t>LEB_KAR_2023_S3_M.34_Speaker28</t>
  </si>
  <si>
    <t>LEB_KAR_2023_S4_M.31_Speaker29</t>
  </si>
  <si>
    <t>Agedat</t>
  </si>
  <si>
    <t>Syrian</t>
  </si>
  <si>
    <t>LEB_KAR_2023_KK_M.60_Speaker30</t>
  </si>
  <si>
    <t>LEB_NAA_2023_AD_F.67_Speaker1</t>
  </si>
  <si>
    <t>Wife of...</t>
  </si>
  <si>
    <t>LEB_NAA_2023_XX_F.59_Speaker2</t>
  </si>
  <si>
    <t>Wife of M.66</t>
  </si>
  <si>
    <t>LEB_NAA_2023_XY_M.66_Speaker3</t>
  </si>
  <si>
    <t>LEB_KHAL_2022_RD_M.61_Speaker1</t>
  </si>
  <si>
    <t>LEB_KHAL_2022_HD_M.31_Speaker2</t>
  </si>
  <si>
    <t>LEB_KHAL_2022_XY_M.33_Speaker3</t>
  </si>
  <si>
    <t>LEB_BEK_2022_BL_M.41_Speaker1</t>
  </si>
  <si>
    <t>Lwes</t>
  </si>
  <si>
    <t>LEB_BEK_2022_SM_M.50_Speaker2</t>
  </si>
  <si>
    <t>LEB_BEK_2022_LF_M.66_Speaker1</t>
  </si>
  <si>
    <t>Bu Eid</t>
  </si>
  <si>
    <t>LEB_BEK_2022_AS_M.71_Speaker2</t>
  </si>
  <si>
    <t>LEB_BEK_2022_MN_F.61_Speaker3</t>
  </si>
  <si>
    <t>Wife of LEB_BEK_2022_LF_M.66_Speaker1</t>
  </si>
  <si>
    <t>LEB_BEK_2022_MH_F.64_Speaker4</t>
  </si>
  <si>
    <t>Sister of LEB_BEK_2022_LF_M.66_Speaker1</t>
  </si>
  <si>
    <t>LEB_BEK_2022_NH_M.51_Speaker1</t>
  </si>
  <si>
    <t>Haruk</t>
  </si>
  <si>
    <t>LEB_BEK_2022_MH_M.80_Speaker2</t>
  </si>
  <si>
    <t>LEB_BEK_2022_SH_F.49_Speaker3</t>
  </si>
  <si>
    <t>LEB_BEK_2022_IH_F.50_Speaker4</t>
  </si>
  <si>
    <t>LEB_BEK_2022_DG_F.37_Speaker5</t>
  </si>
  <si>
    <t>LEB_BEI_2023_WS_M.68_Speaker1</t>
  </si>
  <si>
    <t>LEB_BEI_2023_HS_M.31_Speaker2</t>
  </si>
  <si>
    <t>LEB_SOU_2022_SA_M.56_Speaker1</t>
  </si>
  <si>
    <t>Kredin</t>
  </si>
  <si>
    <t>LEB_SOU_2022_FA_F.42_Speaker2</t>
  </si>
  <si>
    <t>LEB_SOU_2022_NM_F.56_Speaker3</t>
  </si>
  <si>
    <t>LEB_SOU_2022_HK_M.57_Speaker4</t>
  </si>
  <si>
    <t>From Marouahine but met him in Sour</t>
  </si>
  <si>
    <t>Gleytat</t>
  </si>
  <si>
    <t>LEB_SOU_2022_AM_F.65_Speaker5</t>
  </si>
  <si>
    <t>Aramsha</t>
  </si>
  <si>
    <t>LEB_SOU_2022_NA_M.37_Speaker6</t>
  </si>
  <si>
    <t>LEB_QAL_2022_SM_M.87_Speaker1</t>
  </si>
  <si>
    <t>90s</t>
  </si>
  <si>
    <t>LEB_QAL_2022_SG_F.86_Speaker2</t>
  </si>
  <si>
    <t>LEB_QAL_2022_ZK_F.43_Speaker2</t>
  </si>
  <si>
    <t>Daughter of LEB_QAL_2022_SM_M.87_Speaker1 and LEB_QAL_2022_SG_F.86_Speaker2</t>
  </si>
  <si>
    <t>MOR_Shawiya_BM_F.50</t>
  </si>
  <si>
    <t>no formal education, cant read and write, lived only on the countryside</t>
  </si>
  <si>
    <t>MOR_Shawiya_BM_F.80</t>
  </si>
  <si>
    <t>MOR_Zaer_AA_M.40</t>
  </si>
  <si>
    <t>JOR_Bani_Saxar_EAK_F_1970s_RujmAshShami</t>
  </si>
  <si>
    <t>Jordan</t>
  </si>
  <si>
    <t>Bani Ṣaxar</t>
  </si>
  <si>
    <t>JOR_Bani_Saxar_AAK_M_1990s_RujmAshShami</t>
  </si>
  <si>
    <t>Carries on interviews</t>
  </si>
  <si>
    <t>JOR_Bani_Saxar_HAS_M_1980s_QasrAmra</t>
  </si>
  <si>
    <t>JOR_Bani_Saxar_GAD_F_1940s</t>
  </si>
  <si>
    <t>JOR_Bani_Saxar_MAK_M_1980s_RujmAshShami</t>
  </si>
  <si>
    <t>JOR_Bani_Saxar_FAD_M_1970s</t>
  </si>
  <si>
    <t>JOR_Bani_Saxar_NAK_F_1960s_RujmAshShami</t>
  </si>
  <si>
    <t>no formal education, can´t read and write, lived only on the countryside</t>
  </si>
  <si>
    <t>JOR_Bani_Saxar_AAH_M_1940s_Damxi</t>
  </si>
  <si>
    <t>Only verbal consent, lived most of his life in the desert.</t>
  </si>
  <si>
    <t>JOR_Bani_Saxar_MAH_M_1980s_UmmArRasas</t>
  </si>
  <si>
    <t>JOR_Bani_Saxar_RAH_M_1970s_Nahda</t>
  </si>
  <si>
    <t>JOR_Bani_Saxar_MAH_M_1980s_Nahda</t>
  </si>
  <si>
    <t>JOR_Bani_Saxar_AAZ_F_1990s_Nitl</t>
  </si>
  <si>
    <t>JOR_Bani_Saxar_IAZ_F_1990s_Nitl</t>
  </si>
  <si>
    <t>JOR_Bani_Saxar_AZ_F_2000s_Nitl</t>
  </si>
  <si>
    <t>JOR_Bani_Saxar_AAS_M_1990s</t>
  </si>
  <si>
    <t>JOR_Bani_Saxar_AD_M_1980s</t>
  </si>
  <si>
    <t>JOR_Bani_Saxar_K_M_1960s_RujmAshShami</t>
  </si>
  <si>
    <t>JOR_Bani_Saxar_UMM_F_1970S_Dleyla</t>
  </si>
  <si>
    <t>JOR_Bani_Saxar_UMaM_F_1970S_Dleyla</t>
  </si>
  <si>
    <t>JOR_Bani_Saxar_UAM_F_1940S_Dleyla</t>
  </si>
  <si>
    <t>JOR_Bani_Saxar_W1_F_Zeben</t>
  </si>
  <si>
    <t>JOR_Bani_Saxar_W2_F_Zeben</t>
  </si>
  <si>
    <t>JOR_Bani_Saxar_W3_F_Zeben</t>
  </si>
  <si>
    <t>JOR_Bani_Saxar_RAZ_M_1990s_Amman</t>
  </si>
  <si>
    <t>JOR_Bani_Saxar_MH_F_1990s_Msetba</t>
  </si>
  <si>
    <t>JOR_Bani_Saxar_H_F_1940s_Msetba</t>
  </si>
  <si>
    <t>JOR_Bani_Saxar_H_F_1950s_Msetba</t>
  </si>
  <si>
    <t>JOR_Bani_Saxar_M_Irbid</t>
  </si>
  <si>
    <t xml:space="preserve">40s </t>
  </si>
  <si>
    <t>Italy</t>
  </si>
  <si>
    <t>Researcher</t>
  </si>
  <si>
    <t>MOR_Zaer_AA_F.50</t>
  </si>
  <si>
    <t>MOR_Shawiya_BM_F.60</t>
  </si>
  <si>
    <t>MOR_Shawiya_BM_55.F_speaker2</t>
  </si>
  <si>
    <t xml:space="preserve">MOR_Z_F_70.F </t>
  </si>
  <si>
    <t>MOR_Shawiya_Mzab_79.M</t>
  </si>
  <si>
    <t>1940s</t>
  </si>
  <si>
    <t>MOR_Z_Gh_39.M</t>
  </si>
  <si>
    <t>MOR_Z_GH_104.M</t>
  </si>
  <si>
    <t>1920s</t>
  </si>
  <si>
    <t>RSD_JOR_2024_SXR_1</t>
  </si>
  <si>
    <t xml:space="preserve">Bani Ṣaxar companion 1 durin fieldwork </t>
  </si>
  <si>
    <t>RSD_JOR_2024_Speaker1</t>
  </si>
  <si>
    <t xml:space="preserve">YES </t>
  </si>
  <si>
    <t>no info</t>
  </si>
  <si>
    <t>very high education; teacher of computing engineering; she has 3 children and was pregnant, she is from the mutayr in the rashayda and her mother is an indian</t>
  </si>
  <si>
    <t>RSD_JOR_2024_Son</t>
  </si>
  <si>
    <t>only appears in the background</t>
  </si>
  <si>
    <t>RSD_JOR_2024_Rebecca</t>
  </si>
  <si>
    <t>RSD_JOR_2024_Speaker2</t>
  </si>
  <si>
    <t>sheikh, , has at least 2 sons who were in the interview</t>
  </si>
  <si>
    <t>RSD_JOR_2024_Speaker3</t>
  </si>
  <si>
    <t>Son of Speaker 2 and brother of Speaker 4, has high education, he is a teacher / lecturer</t>
  </si>
  <si>
    <t>RSD_JOR_2024_Speaker4</t>
  </si>
  <si>
    <t>1980s-1990s</t>
  </si>
  <si>
    <t>Son of Speaker 2, brother of Speaker 3 and husband of Speaker 1</t>
  </si>
  <si>
    <t>RSD_JOR_2024_Speaker5</t>
  </si>
  <si>
    <t>born 1947</t>
  </si>
  <si>
    <t xml:space="preserve">high education; in the questionnaire with the majlis men (ajloun_2), the one who speaks the most, has a bachelors in the arabic language, and involved in some community organisation in kufranjah </t>
  </si>
  <si>
    <t>RSD_JOR_2024_Speaker6</t>
  </si>
  <si>
    <t>born 28.11.1966</t>
  </si>
  <si>
    <t>seemingly high education</t>
  </si>
  <si>
    <t>RSD_JOR_2024_Speaker7</t>
  </si>
  <si>
    <t>born 14.09.1966</t>
  </si>
  <si>
    <t>RSD_JOR_2024_Speaker8</t>
  </si>
  <si>
    <t>born 25.06.1976</t>
  </si>
  <si>
    <t>seemingly high education; father of the two children, has a wife from Bani Ṣaxar</t>
  </si>
  <si>
    <t>RSD_JOR_2024_Speaker9</t>
  </si>
  <si>
    <t>born 1965</t>
  </si>
  <si>
    <t>RSD_JOR_2024_Speaker10</t>
  </si>
  <si>
    <t>born 1974</t>
  </si>
  <si>
    <t>RSD_JOR_2024_Speaker11</t>
  </si>
  <si>
    <t>born 1950</t>
  </si>
  <si>
    <t>RSD_JOR_2024_Speaker12</t>
  </si>
  <si>
    <t>he was a school principal and now a part of some organisation for university students in Kufranja; he spoke mostly in ajloun_1. He says that the rashayda in kunfranjah for the most part came from Shobak</t>
  </si>
  <si>
    <t>RSD_JOR_2024_Speaker13</t>
  </si>
  <si>
    <t>RSD_JOR_2024_Speaker14</t>
  </si>
  <si>
    <t>RSD_JOR_2024_Speaker15</t>
  </si>
  <si>
    <t>RSD_JOR_2024_Speaker16</t>
  </si>
  <si>
    <t>RSD_JOR_2024_Speaker17</t>
  </si>
  <si>
    <t>RSD_JOR_2024_Speaker18</t>
  </si>
  <si>
    <t>RSD_JOR_2024_Speaker19</t>
  </si>
  <si>
    <t>lawyer, runs the fan page of the rashayda in jordan, from ʕAǧlūn but is often in ʕAmmān</t>
  </si>
  <si>
    <t>RSD_JOR_2024_Speaker20</t>
  </si>
  <si>
    <t>successful lawyer, parents are palestinian, brother of Speaker22, lives between Karāma and ʕAmmān</t>
  </si>
  <si>
    <t>RSD_JOR_2024_Speaker21</t>
  </si>
  <si>
    <t>engineer with a masters accompanying speaker19, he doesn't speak much, from ʕAǧlūn but often in ʕAmmān</t>
  </si>
  <si>
    <t>RSD_JOR_2024_Speaker22</t>
  </si>
  <si>
    <t>parents are born in palestine but she is born in Amman, she is very modern, she has 8 siblings, including Speaker20, but she is the youngest. She is doing a masters and works as a lawyer</t>
  </si>
  <si>
    <t>RSD_JOR_2024_Speaker23</t>
  </si>
  <si>
    <t>Palestine</t>
  </si>
  <si>
    <t>wife of speaker13 and mother of speaker16 (and speaker15?). Moved to Karama after the 67 war</t>
  </si>
  <si>
    <t>RSD_JOR_2024_SXR_3</t>
  </si>
  <si>
    <t>second bani saxar companion with only this family</t>
  </si>
  <si>
    <t>RSD_JOR_2024_Speaker24</t>
  </si>
  <si>
    <t xml:space="preserve">mother from refugee camp al-baqaʕa; identifies as palestinian but born in jordan in the refugee camp where she still lives </t>
  </si>
  <si>
    <t>RSD_JOR_2024_Speaker25</t>
  </si>
  <si>
    <t>oldest son of Speaker24, the one who speaks the most</t>
  </si>
  <si>
    <t>RSD_JOR_2024_Speaker26</t>
  </si>
  <si>
    <t>middle son of Speaker24</t>
  </si>
  <si>
    <t>RSD_JOR_2024_Speaker27</t>
  </si>
  <si>
    <t>youngest son of Speaker24</t>
  </si>
  <si>
    <t>RSD_JOR_2024_YZD</t>
  </si>
  <si>
    <t>/</t>
  </si>
  <si>
    <t>got me in touch with the refugee camp family, he is not rashayda</t>
  </si>
  <si>
    <t>SALMAN_JOR_2024_Speaker1</t>
  </si>
  <si>
    <t>runs a culture house in Ajloun</t>
  </si>
  <si>
    <t>HWETAT_JOR_2024_Speaker1</t>
  </si>
  <si>
    <t>part of the Rashayda Hwetat, from Karak but was raised and lives in Amman</t>
  </si>
  <si>
    <t>RSD_JOR_2024_SXR_2</t>
  </si>
  <si>
    <t>brother of RSD_JOR_2024_SXR_1</t>
  </si>
  <si>
    <t>HWETAT_JOR_2024_Speaker2</t>
  </si>
  <si>
    <t xml:space="preserve">Part of the Hwetat from the Squr branch, 25 years old, soldier, has a young family </t>
  </si>
  <si>
    <t>HWETAT_JOR_2024_Speaker4</t>
  </si>
  <si>
    <t>runs a camp for tourists in Wadi Finan, part of the Rashayda Hwetat</t>
  </si>
  <si>
    <t>SUD_2023_Speaker1</t>
  </si>
  <si>
    <t>Sudan</t>
  </si>
  <si>
    <t>SUD_2023_Speaker2</t>
  </si>
  <si>
    <t>SUD_2023_Speaker3</t>
  </si>
  <si>
    <t>zaeem of Mwes</t>
  </si>
  <si>
    <t>SUD_2023_Speaker4</t>
  </si>
  <si>
    <t>SUD_2023_Speaker5</t>
  </si>
  <si>
    <t>ID</t>
  </si>
  <si>
    <t>Placename</t>
  </si>
  <si>
    <t>Type</t>
  </si>
  <si>
    <t>From</t>
  </si>
  <si>
    <t>To</t>
  </si>
  <si>
    <t>Al-Ula Fieldwork Campaign Ana Iriarte Diez and Stephan Procházka 2025</t>
  </si>
  <si>
    <t>SAU_2025_AID_SP</t>
  </si>
  <si>
    <t>campaign</t>
  </si>
  <si>
    <t>LEB_2023_AID</t>
  </si>
  <si>
    <t>Lebanon</t>
  </si>
  <si>
    <t>LEB_2022_AID</t>
  </si>
  <si>
    <t>LEB_2022_CL</t>
  </si>
  <si>
    <t>Jordan Fieldwork Campaign Claudia Laaber 2022</t>
  </si>
  <si>
    <t>JOR_2022_CL</t>
  </si>
  <si>
    <t>MOR_2022_TD</t>
  </si>
  <si>
    <t>SDN_2023_SK</t>
  </si>
  <si>
    <t>Rashayda of Mwēs (Shendi)</t>
  </si>
  <si>
    <t>Sudan Fieldwork Campaign Stefan Reichmuth 1974 and 1978</t>
  </si>
  <si>
    <t>SDN_1974-1978_SR</t>
  </si>
  <si>
    <t>Digitalized cassettes of Reichmuth's fieldwork in Eastern Sudan in 1974 and in Khartoum in 1978</t>
  </si>
  <si>
    <t>Turkey Fieldwork Campaign Stephan Procházka 2002-2025</t>
  </si>
  <si>
    <t>TUR_2002-2022_SP</t>
  </si>
  <si>
    <t>Turkey</t>
  </si>
  <si>
    <t>Jordan Fieldwork Campaign Antonella Torzullo 2021</t>
  </si>
  <si>
    <t>JOR_2021_AT_OEAW</t>
  </si>
  <si>
    <t>Jordan Fieldwork Campaign Antonella Torzullo 2022</t>
  </si>
  <si>
    <t>JOR_2022_AT_OEAW</t>
  </si>
  <si>
    <t>JOR_2023_AT</t>
  </si>
  <si>
    <t>SAU_2022_GK</t>
  </si>
  <si>
    <t>The data from this fieldwork is now handled by RZ</t>
  </si>
  <si>
    <t>KUW_2022_GK</t>
  </si>
  <si>
    <t>The end date of this fieldwork is approximate (RZ could not find the real end-of-fieldwork date in GK´s notes). The data from this fieldwork is now handled by RZ</t>
  </si>
  <si>
    <t>JOR_2024_RZ</t>
  </si>
  <si>
    <t>SAU_2025_RZ</t>
  </si>
  <si>
    <t xml:space="preserve">The content of this sheet is fetched from 010_manannot/wibarab_sources.xml </t>
  </si>
  <si>
    <t>Recording</t>
  </si>
  <si>
    <t>TEXT SPEAKER TABLE</t>
  </si>
  <si>
    <t>The values will be shown in the Recordings table.</t>
  </si>
  <si>
    <t>#</t>
  </si>
  <si>
    <t>SAU_2022_Speaker52</t>
  </si>
  <si>
    <t>LEB_KAR_2022_CB_F.18_Speaker11</t>
  </si>
  <si>
    <t>LEB_KHAL_2022_HD_M.31_Speaker3</t>
  </si>
  <si>
    <t>LEB_BEK_2022_BL_M.50_Speaker2</t>
  </si>
  <si>
    <t>LEB_BEK_2022_BL_M.50_Speaker3</t>
  </si>
  <si>
    <t>LEB_BEK_2022_AS_M.71_Speaker3</t>
  </si>
  <si>
    <t>LEB_SOU_2022_HK_M.57_Speaker5</t>
  </si>
  <si>
    <t>LEB_SOU_2022_HK_M.57_Speaker6</t>
  </si>
  <si>
    <t>MOR_Shawiya_Beni Mesnawi_agriculture and marriages in the past_22</t>
  </si>
  <si>
    <t>MOR_Zaer_Rommani_TribeGhwalem_worker_life and a joke_2023</t>
  </si>
  <si>
    <t>RSD_JOR_2024_shuna_session_morning_7</t>
  </si>
  <si>
    <t>TEXT SUBJECT TABLE</t>
  </si>
  <si>
    <t>Marriage</t>
  </si>
  <si>
    <t>Tools</t>
  </si>
  <si>
    <t>Herding</t>
  </si>
  <si>
    <t>Tribal Traditions</t>
  </si>
  <si>
    <t>Women's work</t>
  </si>
  <si>
    <t>Childhood</t>
  </si>
  <si>
    <t>Houses</t>
  </si>
  <si>
    <t>Family</t>
  </si>
  <si>
    <t>Food recipees</t>
  </si>
  <si>
    <t>Daily life</t>
  </si>
  <si>
    <t>Migration and diaspora</t>
  </si>
  <si>
    <t>Visual elicitation</t>
  </si>
  <si>
    <t>Coffee</t>
  </si>
  <si>
    <t>Markets and food prices</t>
  </si>
  <si>
    <t>Driving</t>
  </si>
  <si>
    <t>Feasts</t>
  </si>
  <si>
    <t>Funerals</t>
  </si>
  <si>
    <t>Pets</t>
  </si>
  <si>
    <t>Concept of 3eyb and Haram</t>
  </si>
  <si>
    <t>Henna</t>
  </si>
  <si>
    <t>Weaving</t>
  </si>
  <si>
    <t>Questionnaire</t>
  </si>
  <si>
    <t>Language and identity</t>
  </si>
  <si>
    <t xml:space="preserve">Slavery </t>
  </si>
  <si>
    <t>Tribal History</t>
  </si>
  <si>
    <t>History general</t>
  </si>
  <si>
    <t>Racism</t>
  </si>
  <si>
    <t>Religion</t>
  </si>
  <si>
    <t>Argument</t>
  </si>
  <si>
    <t>Childbirth</t>
  </si>
  <si>
    <t>Lexicon</t>
  </si>
  <si>
    <t>Falcons</t>
  </si>
  <si>
    <t>01_NZ_M.73_Karantina_Firstencounter</t>
  </si>
  <si>
    <t>Cheikhs and eldest</t>
  </si>
  <si>
    <t>Stories, jokes and tales</t>
  </si>
  <si>
    <t>Rural vs city life</t>
  </si>
  <si>
    <t>Bedouin tents</t>
  </si>
  <si>
    <t>Civil War</t>
  </si>
  <si>
    <t>Poverty</t>
  </si>
  <si>
    <t>Exile</t>
  </si>
  <si>
    <t>Neighbor communities</t>
  </si>
  <si>
    <t>Slaughterhouse</t>
  </si>
  <si>
    <t>Community identity</t>
  </si>
  <si>
    <t>Neighborhood</t>
  </si>
  <si>
    <t>Port Explosion</t>
  </si>
  <si>
    <t>Oral literature - Poetry</t>
  </si>
  <si>
    <t>Agriculture</t>
  </si>
  <si>
    <t>MOR_Shawiya_Beni Mesnawi_agriculture and the past_2022</t>
  </si>
  <si>
    <t>Grammar</t>
  </si>
  <si>
    <t>Syria-000</t>
  </si>
  <si>
    <t>Consent</t>
  </si>
  <si>
    <t>Syria-001</t>
  </si>
  <si>
    <t>Path to Austria</t>
  </si>
  <si>
    <t>Syrian War</t>
  </si>
  <si>
    <t>Profession</t>
  </si>
  <si>
    <t>Milk</t>
  </si>
  <si>
    <t>Animals</t>
  </si>
  <si>
    <t>Syria-002</t>
  </si>
  <si>
    <t>Al-Xabur</t>
  </si>
  <si>
    <t>River</t>
  </si>
  <si>
    <t>Swimming</t>
  </si>
  <si>
    <t>Healing Water</t>
  </si>
  <si>
    <t>Syria-003</t>
  </si>
  <si>
    <t>Al-Higit</t>
  </si>
  <si>
    <t>Syria-004</t>
  </si>
  <si>
    <t>Tent</t>
  </si>
  <si>
    <t>Former Times</t>
  </si>
  <si>
    <t>Syria-005</t>
  </si>
  <si>
    <t>Shawi</t>
  </si>
  <si>
    <t>Syria-006</t>
  </si>
  <si>
    <t>Game Dorbis</t>
  </si>
  <si>
    <t>Syria-007</t>
  </si>
  <si>
    <t>Game Az-Zagta</t>
  </si>
  <si>
    <t>Syria-008</t>
  </si>
  <si>
    <t>Game Ad-Drah</t>
  </si>
  <si>
    <t>Syria-009</t>
  </si>
  <si>
    <t>Game Al-Hora</t>
  </si>
  <si>
    <t>Syria-010</t>
  </si>
  <si>
    <t>Eid</t>
  </si>
  <si>
    <t>Syria-011</t>
  </si>
  <si>
    <t>Eid Ramadan</t>
  </si>
  <si>
    <t>Syria-012</t>
  </si>
  <si>
    <t>Eid Al-Adha</t>
  </si>
  <si>
    <t>Syria-013</t>
  </si>
  <si>
    <t>Syria-014</t>
  </si>
  <si>
    <t>Being a Shepherd</t>
  </si>
  <si>
    <t>Syria-015</t>
  </si>
  <si>
    <t>Chasing Women</t>
  </si>
  <si>
    <t>Personal Story</t>
  </si>
  <si>
    <t>Syria-016</t>
  </si>
  <si>
    <t>Syria-017</t>
  </si>
  <si>
    <t>School Days</t>
  </si>
  <si>
    <t>Chicken</t>
  </si>
  <si>
    <t>Syria-018</t>
  </si>
  <si>
    <t>Al-Hamis</t>
  </si>
  <si>
    <t>Syria-019</t>
  </si>
  <si>
    <t>Al-Mangusa</t>
  </si>
  <si>
    <t>Ar-Rshedi</t>
  </si>
  <si>
    <t>Syria-020</t>
  </si>
  <si>
    <t>Arab Soup</t>
  </si>
  <si>
    <t>Syria-021</t>
  </si>
  <si>
    <t>Bamya</t>
  </si>
  <si>
    <t>Syria-022</t>
  </si>
  <si>
    <t>Sheep</t>
  </si>
  <si>
    <t>Wool</t>
  </si>
  <si>
    <t>Syria-023</t>
  </si>
  <si>
    <t>Summer Tent</t>
  </si>
  <si>
    <t>Wedding</t>
  </si>
  <si>
    <t>Syria-024</t>
  </si>
  <si>
    <t>Harvesting</t>
  </si>
  <si>
    <t>Syria-025</t>
  </si>
  <si>
    <t>Al-Xumea</t>
  </si>
  <si>
    <t>Al-Ftile</t>
  </si>
  <si>
    <t>Syria-026</t>
  </si>
  <si>
    <t>Cotton Crop</t>
  </si>
  <si>
    <t>Syria-027</t>
  </si>
  <si>
    <t>About Stories</t>
  </si>
  <si>
    <t>Syria-028</t>
  </si>
  <si>
    <t>A Fight</t>
  </si>
  <si>
    <t>Syria-029</t>
  </si>
  <si>
    <t>Military</t>
  </si>
  <si>
    <t>Syria-030</t>
  </si>
  <si>
    <t>Heading to Germany</t>
  </si>
  <si>
    <t>Syria-031</t>
  </si>
  <si>
    <t>In Ras al-Ain</t>
  </si>
  <si>
    <t>Syria-032</t>
  </si>
  <si>
    <t>Crossing the Borders</t>
  </si>
  <si>
    <t>Syria-033</t>
  </si>
  <si>
    <t>Reaching Urfa</t>
  </si>
  <si>
    <t>Syria-034</t>
  </si>
  <si>
    <t>To Istanbul</t>
  </si>
  <si>
    <t>Syria-035</t>
  </si>
  <si>
    <t>Voice Message</t>
  </si>
  <si>
    <t>Syria-036</t>
  </si>
  <si>
    <t>A Laughing Girl</t>
  </si>
  <si>
    <t>Syria-037</t>
  </si>
  <si>
    <t>Syria-038</t>
  </si>
  <si>
    <t>Syria-039</t>
  </si>
  <si>
    <t>Syria-040</t>
  </si>
  <si>
    <t>Personal Life</t>
  </si>
  <si>
    <t>Generosity</t>
  </si>
  <si>
    <t>Tribes</t>
  </si>
  <si>
    <t>Seasonal Crop</t>
  </si>
  <si>
    <t>Horses</t>
  </si>
  <si>
    <t>Syria-041</t>
  </si>
  <si>
    <t>Syria-042</t>
  </si>
  <si>
    <t>Stealing Watermelon</t>
  </si>
  <si>
    <t>Fights among Tribes</t>
  </si>
  <si>
    <t>Getting Lost</t>
  </si>
  <si>
    <t>Syria-043</t>
  </si>
  <si>
    <t>Studying for School</t>
  </si>
  <si>
    <t>Syria-044</t>
  </si>
  <si>
    <t>Cheating</t>
  </si>
  <si>
    <t>Moving to Lebanon</t>
  </si>
  <si>
    <t>Syria-045</t>
  </si>
  <si>
    <t>Bike</t>
  </si>
  <si>
    <t>Syria-046</t>
  </si>
  <si>
    <t>Syria-047</t>
  </si>
  <si>
    <t>Moving to Saudi Arabia</t>
  </si>
  <si>
    <t>Syria-048</t>
  </si>
  <si>
    <t>Trying Business</t>
  </si>
  <si>
    <t>Reaching Austria</t>
  </si>
  <si>
    <t>Syria-049</t>
  </si>
  <si>
    <t>To Europe</t>
  </si>
  <si>
    <t>Syria-050</t>
  </si>
  <si>
    <t>Syria-051</t>
  </si>
  <si>
    <t>Syria-052</t>
  </si>
  <si>
    <t>Unlucky Day</t>
  </si>
  <si>
    <t>Syria-053</t>
  </si>
  <si>
    <t>A Friend's Marriage</t>
  </si>
  <si>
    <t>Syria-054</t>
  </si>
  <si>
    <t>Doing Business</t>
  </si>
  <si>
    <t>Syria-055</t>
  </si>
  <si>
    <t>Syria-056</t>
  </si>
  <si>
    <t>Syria-057</t>
  </si>
  <si>
    <t>Syria-058</t>
  </si>
  <si>
    <t>Syria-059</t>
  </si>
  <si>
    <t xml:space="preserve">Marriage Prank </t>
  </si>
  <si>
    <t>Syria-060</t>
  </si>
  <si>
    <t>The Sheikh</t>
  </si>
  <si>
    <t>Syria-061</t>
  </si>
  <si>
    <t>Short</t>
  </si>
  <si>
    <t>Syria-062</t>
  </si>
  <si>
    <t>Syria-063</t>
  </si>
  <si>
    <t>Syria-064</t>
  </si>
  <si>
    <t>Question</t>
  </si>
  <si>
    <t>Syria-065</t>
  </si>
  <si>
    <t>Eating Fruits</t>
  </si>
  <si>
    <t>Syria-066</t>
  </si>
  <si>
    <t>Syria-067</t>
  </si>
  <si>
    <t>The Bride</t>
  </si>
  <si>
    <t>Syria-068</t>
  </si>
  <si>
    <t>The Sheikhs</t>
  </si>
  <si>
    <t>Syria-069</t>
  </si>
  <si>
    <t>Soud</t>
  </si>
  <si>
    <t>Syria-070</t>
  </si>
  <si>
    <t>Syria-071</t>
  </si>
  <si>
    <t>Syria-072</t>
  </si>
  <si>
    <t>Syria-073</t>
  </si>
  <si>
    <t>Syria-074</t>
  </si>
  <si>
    <t>Getting Caught</t>
  </si>
  <si>
    <t>Syria-075</t>
  </si>
  <si>
    <t>Old Man</t>
  </si>
  <si>
    <t>Syria-076</t>
  </si>
  <si>
    <t>Syria-077</t>
  </si>
  <si>
    <t>Abu al-Adas</t>
  </si>
  <si>
    <t>Stories</t>
  </si>
  <si>
    <t>Syria-078</t>
  </si>
  <si>
    <t>Syria-079</t>
  </si>
  <si>
    <t>Syria-080</t>
  </si>
  <si>
    <t>Syria-081</t>
  </si>
  <si>
    <t>Car at the Wedding</t>
  </si>
  <si>
    <t>Syria-082</t>
  </si>
  <si>
    <t>College Days</t>
  </si>
  <si>
    <t>Syria-083</t>
  </si>
  <si>
    <t>Looking for a Wife</t>
  </si>
  <si>
    <t>Syria-084</t>
  </si>
  <si>
    <t>Conversation</t>
  </si>
  <si>
    <t>Syria-085</t>
  </si>
  <si>
    <t>Military Times</t>
  </si>
  <si>
    <t>Lying Man</t>
  </si>
  <si>
    <t>Voracious Man</t>
  </si>
  <si>
    <t>Label</t>
  </si>
  <si>
    <t>Definition</t>
  </si>
  <si>
    <t>Speaker talks about their childhood</t>
  </si>
  <si>
    <t>coffee traditions</t>
  </si>
  <si>
    <t>Speaker talks about the act of driving (especially in the context of women in Saudi Arabia)</t>
  </si>
  <si>
    <t>Speaker talks about the education in their country (either present or of their childhood)</t>
  </si>
  <si>
    <t>Speaker talks about regional, local or religious feasts</t>
  </si>
  <si>
    <t>Speaker talks about sayings related to funerals, the process that occurs after the death of a beloved, the process of mourning etc.</t>
  </si>
  <si>
    <t>Speaker talks about their work with cattle/herds</t>
  </si>
  <si>
    <t>Speaker talks about the houses, their material in the past or the present or how they have changed</t>
  </si>
  <si>
    <t xml:space="preserve">Speaker explains marriage traditions </t>
  </si>
  <si>
    <t>Old men gatherings</t>
  </si>
  <si>
    <t>Speaker talks about tools and other such items</t>
  </si>
  <si>
    <t>Speaker talks about the history of their tribe</t>
  </si>
  <si>
    <t>Speaker talks about the domestic work of women</t>
  </si>
  <si>
    <t>Civil war in Lebanon 1975-1990</t>
  </si>
  <si>
    <t>Poverty and misery</t>
  </si>
  <si>
    <t>Displacement during the civil war</t>
  </si>
  <si>
    <t>WIBARAB (or other) questionnaire</t>
  </si>
  <si>
    <t>Slave trade; Recalling times when slavery was allowed in Kuwait, abolishment of slavery</t>
  </si>
  <si>
    <t>Modern games</t>
  </si>
  <si>
    <t>Talking about playstation and fortnite with a little boy</t>
  </si>
  <si>
    <t>Inter-tribal racism, racism between shiia and sunni (Kuwait), etc.</t>
  </si>
  <si>
    <t>Practices and traditions surrounding Henna</t>
  </si>
  <si>
    <t>Informants provide a list of words that they deem as specific to their dialect or Bedouin Arabic without it being tied with visual elicitation or questionnaires</t>
  </si>
  <si>
    <t xml:space="preserve">Mother and daughter get into a small argument about the ideal children's upbringing </t>
  </si>
  <si>
    <t xml:space="preserve">preparing for pregnancy, during pregnancy, after </t>
  </si>
  <si>
    <t>Cultural practices associated with 3eyb and the difference between 3eyb and haram</t>
  </si>
  <si>
    <t>traditional Bedouin weaving</t>
  </si>
  <si>
    <t>Social injustice</t>
  </si>
  <si>
    <t>Politics</t>
  </si>
  <si>
    <t>Gossip</t>
  </si>
  <si>
    <t>Clothing</t>
  </si>
  <si>
    <t>Geonames ID</t>
  </si>
  <si>
    <t>Geo Type</t>
  </si>
  <si>
    <t>Ain Difla</t>
  </si>
  <si>
    <t>AinDifla</t>
  </si>
  <si>
    <t>geo</t>
  </si>
  <si>
    <t>Ain Draham</t>
  </si>
  <si>
    <t>AinDraham</t>
  </si>
  <si>
    <t>2472913</t>
  </si>
  <si>
    <t>Ain Ksiba</t>
  </si>
  <si>
    <t>AinKsiba</t>
  </si>
  <si>
    <t>Ain Soltane</t>
  </si>
  <si>
    <t>AinSoltane</t>
  </si>
  <si>
    <t>Akouda</t>
  </si>
  <si>
    <t>2473913</t>
  </si>
  <si>
    <t>Amaymiya</t>
  </si>
  <si>
    <t>Amdoun</t>
  </si>
  <si>
    <t>Babouch</t>
  </si>
  <si>
    <t>2472809</t>
  </si>
  <si>
    <t>Balta</t>
  </si>
  <si>
    <t>2472746</t>
  </si>
  <si>
    <t>Baten Ghazel</t>
  </si>
  <si>
    <t>BatenGhazel</t>
  </si>
  <si>
    <t>Beja</t>
  </si>
  <si>
    <t>2472774</t>
  </si>
  <si>
    <t>Bir Saad</t>
  </si>
  <si>
    <t>BirSaad</t>
  </si>
  <si>
    <t>Bou Ajila</t>
  </si>
  <si>
    <t>BouAjila</t>
  </si>
  <si>
    <t>Bou Arada</t>
  </si>
  <si>
    <t>BouArada</t>
  </si>
  <si>
    <t>2472261</t>
  </si>
  <si>
    <t>Bou Omrane</t>
  </si>
  <si>
    <t>BouOmrane</t>
  </si>
  <si>
    <t>Bou Saad</t>
  </si>
  <si>
    <t>BouSaad</t>
  </si>
  <si>
    <t>Bou Saada</t>
  </si>
  <si>
    <t>BouSaada</t>
  </si>
  <si>
    <t>Dahmani</t>
  </si>
  <si>
    <t>2471788</t>
  </si>
  <si>
    <t>Dakhlet Ajej</t>
  </si>
  <si>
    <t>DakhletAjej</t>
  </si>
  <si>
    <t>Dir</t>
  </si>
  <si>
    <t>Douara</t>
  </si>
  <si>
    <t>Dougga</t>
  </si>
  <si>
    <t>11049539</t>
  </si>
  <si>
    <t>Drija</t>
  </si>
  <si>
    <t>El Arish</t>
  </si>
  <si>
    <t>ElArish</t>
  </si>
  <si>
    <t>Fajj et-Tin</t>
  </si>
  <si>
    <t>Fajjet-Tin</t>
  </si>
  <si>
    <t>Farsh el-Shih</t>
  </si>
  <si>
    <t>Farshel-Shih</t>
  </si>
  <si>
    <t>Feriana</t>
  </si>
  <si>
    <t>2471059</t>
  </si>
  <si>
    <t>Frikhat</t>
  </si>
  <si>
    <t>Gafsa</t>
  </si>
  <si>
    <t>2468353</t>
  </si>
  <si>
    <t>Garaat Toufiya</t>
  </si>
  <si>
    <t>GaraatToufiya</t>
  </si>
  <si>
    <t>Gargara</t>
  </si>
  <si>
    <t>Garia</t>
  </si>
  <si>
    <t>Gboullat</t>
  </si>
  <si>
    <t>Ghar</t>
  </si>
  <si>
    <t>Gobrar</t>
  </si>
  <si>
    <t>Gouira</t>
  </si>
  <si>
    <t>Guettar</t>
  </si>
  <si>
    <t>Gulla</t>
  </si>
  <si>
    <t>Haidra</t>
  </si>
  <si>
    <t>2470789</t>
  </si>
  <si>
    <t>Hammam Bourguiba</t>
  </si>
  <si>
    <t>HammamBourguiba</t>
  </si>
  <si>
    <t>11979341</t>
  </si>
  <si>
    <t>Hassi Frid</t>
  </si>
  <si>
    <t>HassiFrid</t>
  </si>
  <si>
    <t>Hbabsa</t>
  </si>
  <si>
    <t>Hbeba</t>
  </si>
  <si>
    <t>Heri</t>
  </si>
  <si>
    <t>Houaidia</t>
  </si>
  <si>
    <t>Hsinette</t>
  </si>
  <si>
    <t>Jabbes</t>
  </si>
  <si>
    <t>Jabbes Testour</t>
  </si>
  <si>
    <t>JabbesTestour</t>
  </si>
  <si>
    <t>Jendouba</t>
  </si>
  <si>
    <t>2470088</t>
  </si>
  <si>
    <t>Jwa Ammar</t>
  </si>
  <si>
    <t>JwaAmmar</t>
  </si>
  <si>
    <t>Kabbara</t>
  </si>
  <si>
    <t>Kalaat Senan</t>
  </si>
  <si>
    <t>KalaatSenan</t>
  </si>
  <si>
    <t>Kasserine</t>
  </si>
  <si>
    <t>2473457</t>
  </si>
  <si>
    <t>Kef</t>
  </si>
  <si>
    <t>Krib</t>
  </si>
  <si>
    <t>Ksar</t>
  </si>
  <si>
    <t>Ksar Mezouar</t>
  </si>
  <si>
    <t>KsarMezouar</t>
  </si>
  <si>
    <t>2468093</t>
  </si>
  <si>
    <t>Lakhouet</t>
  </si>
  <si>
    <t>Lela</t>
  </si>
  <si>
    <t>Maagoula</t>
  </si>
  <si>
    <t>11778224</t>
  </si>
  <si>
    <t>Magsam Trab</t>
  </si>
  <si>
    <t>MagsamTrab</t>
  </si>
  <si>
    <t>Mahjouba</t>
  </si>
  <si>
    <t>2469413</t>
  </si>
  <si>
    <t>Majel Bel Abbes</t>
  </si>
  <si>
    <t>MajelBelAbbes</t>
  </si>
  <si>
    <t>Marja Mgaddeb</t>
  </si>
  <si>
    <t>MarjaMgaddeb</t>
  </si>
  <si>
    <t>Maskhiya</t>
  </si>
  <si>
    <t>Mdayna</t>
  </si>
  <si>
    <t>Medjez</t>
  </si>
  <si>
    <t>Medjez el-Bab</t>
  </si>
  <si>
    <t>Medjezel-Bab</t>
  </si>
  <si>
    <t>2469386</t>
  </si>
  <si>
    <t>Meknassi</t>
  </si>
  <si>
    <t>Mellita</t>
  </si>
  <si>
    <t>Meloussi</t>
  </si>
  <si>
    <t>Metlaoui</t>
  </si>
  <si>
    <t>2473517</t>
  </si>
  <si>
    <t>Moulares</t>
  </si>
  <si>
    <t>2464378</t>
  </si>
  <si>
    <t>Murra</t>
  </si>
  <si>
    <t>Nadhour</t>
  </si>
  <si>
    <t>Nefza</t>
  </si>
  <si>
    <t>Ouled Ali</t>
  </si>
  <si>
    <t>OuledAli</t>
  </si>
  <si>
    <t>Ouled Aridh</t>
  </si>
  <si>
    <t>OuledAridh</t>
  </si>
  <si>
    <t>Ouled Bou Ali</t>
  </si>
  <si>
    <t>OuledBouAli</t>
  </si>
  <si>
    <t>Ouled Said</t>
  </si>
  <si>
    <t>OuledSaid</t>
  </si>
  <si>
    <t>Ouled Slema</t>
  </si>
  <si>
    <t>OuledSlema</t>
  </si>
  <si>
    <t>Redeyef</t>
  </si>
  <si>
    <t>2473257</t>
  </si>
  <si>
    <t>Regueb</t>
  </si>
  <si>
    <t>Rmela</t>
  </si>
  <si>
    <t>Rouhia</t>
  </si>
  <si>
    <t>Sakiet Sidi Youssef</t>
  </si>
  <si>
    <t>SakietSidiYoussef</t>
  </si>
  <si>
    <t>2467239</t>
  </si>
  <si>
    <t>Sammena</t>
  </si>
  <si>
    <t>Santaj</t>
  </si>
  <si>
    <t>Sbeitla</t>
  </si>
  <si>
    <t>2464979</t>
  </si>
  <si>
    <t>Sbiat</t>
  </si>
  <si>
    <t>Sbiba</t>
  </si>
  <si>
    <t>2467506</t>
  </si>
  <si>
    <t>Sers</t>
  </si>
  <si>
    <t>Shikh el-Widyan</t>
  </si>
  <si>
    <t>Shikhel-Widyan</t>
  </si>
  <si>
    <t>Shlihat</t>
  </si>
  <si>
    <t>Shmeysiya</t>
  </si>
  <si>
    <t>Sidi Ali Ben Aoun</t>
  </si>
  <si>
    <t>SidiAliBenAoun</t>
  </si>
  <si>
    <t>Sidi Bouzid</t>
  </si>
  <si>
    <t>SidiBouzid</t>
  </si>
  <si>
    <t>2465840</t>
  </si>
  <si>
    <t>Sidi Hmada</t>
  </si>
  <si>
    <t>SidiHmada</t>
  </si>
  <si>
    <t>Sidi Shil</t>
  </si>
  <si>
    <t>SidiShil</t>
  </si>
  <si>
    <t>Siliana</t>
  </si>
  <si>
    <t>2465030</t>
  </si>
  <si>
    <t>Skarna</t>
  </si>
  <si>
    <t>Skhirat</t>
  </si>
  <si>
    <t>Tabarka</t>
  </si>
  <si>
    <t>2464871</t>
  </si>
  <si>
    <t>Tajerouine</t>
  </si>
  <si>
    <t>2464809</t>
  </si>
  <si>
    <t>Talah</t>
  </si>
  <si>
    <t>Tbainia</t>
  </si>
  <si>
    <t>Teboursouk</t>
  </si>
  <si>
    <t>Testour</t>
  </si>
  <si>
    <t>2464704</t>
  </si>
  <si>
    <t>Touila</t>
  </si>
  <si>
    <t>Umm Labid</t>
  </si>
  <si>
    <t>UmmLabid</t>
  </si>
  <si>
    <t>Umm Zid</t>
  </si>
  <si>
    <t>UmmZid</t>
  </si>
  <si>
    <t>Zaga</t>
  </si>
  <si>
    <t>Zarrouk</t>
  </si>
  <si>
    <t>Zouarine</t>
  </si>
  <si>
    <t>Zwegha</t>
  </si>
  <si>
    <t>Aaouâdé</t>
  </si>
  <si>
    <t>aaouade</t>
  </si>
  <si>
    <t>2266310</t>
  </si>
  <si>
    <t>Abéché</t>
  </si>
  <si>
    <t>abeche</t>
  </si>
  <si>
    <t>245785</t>
  </si>
  <si>
    <t>Abha</t>
  </si>
  <si>
    <t>abha</t>
  </si>
  <si>
    <t>110690</t>
  </si>
  <si>
    <t>Abu Dhabi</t>
  </si>
  <si>
    <t>abu_dhabi</t>
  </si>
  <si>
    <t>292968</t>
  </si>
  <si>
    <t>Abu Qubays</t>
  </si>
  <si>
    <t>abu_qbes</t>
  </si>
  <si>
    <t>174397</t>
  </si>
  <si>
    <t>Abu Shusha</t>
  </si>
  <si>
    <t>abu_shusha</t>
  </si>
  <si>
    <t>295767</t>
  </si>
  <si>
    <t>Abu Snan</t>
  </si>
  <si>
    <t>abu_snan</t>
  </si>
  <si>
    <t>295765</t>
  </si>
  <si>
    <t>ad-Damikhi</t>
  </si>
  <si>
    <t>ad_damikhi</t>
  </si>
  <si>
    <t>8594815</t>
  </si>
  <si>
    <t>ad-Dulaylah</t>
  </si>
  <si>
    <t>ad_dulaylah</t>
  </si>
  <si>
    <t>249588</t>
  </si>
  <si>
    <t>Adana</t>
  </si>
  <si>
    <t>adana</t>
  </si>
  <si>
    <t>325363</t>
  </si>
  <si>
    <t>Aden</t>
  </si>
  <si>
    <t>aden</t>
  </si>
  <si>
    <t>415189</t>
  </si>
  <si>
    <t>Afak</t>
  </si>
  <si>
    <t>afak</t>
  </si>
  <si>
    <t>99738</t>
  </si>
  <si>
    <t>Afghanistan</t>
  </si>
  <si>
    <t>afghanistan</t>
  </si>
  <si>
    <t>1149361</t>
  </si>
  <si>
    <t>reg</t>
  </si>
  <si>
    <t>Agadir</t>
  </si>
  <si>
    <t>agadir</t>
  </si>
  <si>
    <t>2561668</t>
  </si>
  <si>
    <t>Ahwaz</t>
  </si>
  <si>
    <t>ahwaz</t>
  </si>
  <si>
    <t>144448</t>
  </si>
  <si>
    <t>Ayn Anjar</t>
  </si>
  <si>
    <t>ain_aanjar</t>
  </si>
  <si>
    <t>278924</t>
  </si>
  <si>
    <t>ajloun</t>
  </si>
  <si>
    <t>443120</t>
  </si>
  <si>
    <t>Akko</t>
  </si>
  <si>
    <t>akko</t>
  </si>
  <si>
    <t>295721</t>
  </si>
  <si>
    <t>al-Andalus</t>
  </si>
  <si>
    <t>al_andalus</t>
  </si>
  <si>
    <t>2510911</t>
  </si>
  <si>
    <t>al-Badari</t>
  </si>
  <si>
    <t>al_badari</t>
  </si>
  <si>
    <t>361478</t>
  </si>
  <si>
    <t>al-Baha</t>
  </si>
  <si>
    <t>al_baha</t>
  </si>
  <si>
    <t>109953</t>
  </si>
  <si>
    <t>al-Balqa</t>
  </si>
  <si>
    <t>al_balqa</t>
  </si>
  <si>
    <t>250751</t>
  </si>
  <si>
    <t>al-Baraddun</t>
  </si>
  <si>
    <t>al_baraddun</t>
  </si>
  <si>
    <t>30652</t>
  </si>
  <si>
    <t>al-Bayda</t>
  </si>
  <si>
    <t>al_bayda</t>
  </si>
  <si>
    <t>79836</t>
  </si>
  <si>
    <t>Sumayyā al Bid‘</t>
  </si>
  <si>
    <t>al_bid</t>
  </si>
  <si>
    <t>396375</t>
  </si>
  <si>
    <t>ad-Dawayimah</t>
  </si>
  <si>
    <t>al_dawayima</t>
  </si>
  <si>
    <t>295304</t>
  </si>
  <si>
    <t>al-Hujariyah</t>
  </si>
  <si>
    <t>al_hajariyah</t>
  </si>
  <si>
    <t>8075771</t>
  </si>
  <si>
    <t>al-Hasa</t>
  </si>
  <si>
    <t>al_hasa</t>
  </si>
  <si>
    <t>110110</t>
  </si>
  <si>
    <t>al-Hayit</t>
  </si>
  <si>
    <t>al_hayit</t>
  </si>
  <si>
    <t>109611</t>
  </si>
  <si>
    <t>al-Hoceima</t>
  </si>
  <si>
    <t>al_hoceima</t>
  </si>
  <si>
    <t>2558545</t>
  </si>
  <si>
    <t>al-Jabal al-gharbi</t>
  </si>
  <si>
    <t>al_jabal_al_gharbi</t>
  </si>
  <si>
    <t>7602689</t>
  </si>
  <si>
    <t>al-Jadi</t>
  </si>
  <si>
    <t>al_jadi</t>
  </si>
  <si>
    <t>289222</t>
  </si>
  <si>
    <t>al-Jafr</t>
  </si>
  <si>
    <t>al_jafr</t>
  </si>
  <si>
    <t>250649</t>
  </si>
  <si>
    <t>al-Jawf Region</t>
  </si>
  <si>
    <t>al_jawf</t>
  </si>
  <si>
    <t>109470</t>
  </si>
  <si>
    <t>al-Karak</t>
  </si>
  <si>
    <t>al_karak</t>
  </si>
  <si>
    <t>250625</t>
  </si>
  <si>
    <t>al-Karame</t>
  </si>
  <si>
    <t>al_karame</t>
  </si>
  <si>
    <t>4273</t>
  </si>
  <si>
    <t>al-Khaburah</t>
  </si>
  <si>
    <t>al_khaburah</t>
  </si>
  <si>
    <t>289199</t>
  </si>
  <si>
    <t>al-Khafsah</t>
  </si>
  <si>
    <t>al_khafsah</t>
  </si>
  <si>
    <t>168422</t>
  </si>
  <si>
    <t>al-Khums</t>
  </si>
  <si>
    <t>al_khums</t>
  </si>
  <si>
    <t>2219905</t>
  </si>
  <si>
    <t>al-Kuntilla</t>
  </si>
  <si>
    <t>al_kuntilla</t>
  </si>
  <si>
    <t>360870</t>
  </si>
  <si>
    <t>al-Mashrafah</t>
  </si>
  <si>
    <t>al_mashrafah</t>
  </si>
  <si>
    <t>173493</t>
  </si>
  <si>
    <t>al-Mir'i</t>
  </si>
  <si>
    <t>al_miri</t>
  </si>
  <si>
    <t>7345784</t>
  </si>
  <si>
    <t>al-Mazra'ah ash-Sharqiyyah</t>
  </si>
  <si>
    <t>al_mizra_ish_sharkiyya</t>
  </si>
  <si>
    <t>285033</t>
  </si>
  <si>
    <t>al-Musayfirah</t>
  </si>
  <si>
    <t>al_musayfirah</t>
  </si>
  <si>
    <t>173416</t>
  </si>
  <si>
    <t>al-Muwaqqar</t>
  </si>
  <si>
    <t>al_muwaqqar</t>
  </si>
  <si>
    <t>407169</t>
  </si>
  <si>
    <t>an-Namasa</t>
  </si>
  <si>
    <t>al_namasa</t>
  </si>
  <si>
    <t>445262</t>
  </si>
  <si>
    <t>an-Nasriyye</t>
  </si>
  <si>
    <t>al_nasriye</t>
  </si>
  <si>
    <t>173176</t>
  </si>
  <si>
    <t>an-Nazir</t>
  </si>
  <si>
    <t>al_nazir</t>
  </si>
  <si>
    <t>34888</t>
  </si>
  <si>
    <t>al-Nuaymah</t>
  </si>
  <si>
    <t>al_nuaymah</t>
  </si>
  <si>
    <t>166332</t>
  </si>
  <si>
    <t>al-Qahtaniyyah</t>
  </si>
  <si>
    <t>al_qahtaniyah</t>
  </si>
  <si>
    <t>165757</t>
  </si>
  <si>
    <t>al-Qaryatayn</t>
  </si>
  <si>
    <t>al_qaryatayn</t>
  </si>
  <si>
    <t>173361</t>
  </si>
  <si>
    <t>al-Qasim</t>
  </si>
  <si>
    <t>al_qassim</t>
  </si>
  <si>
    <t>108933</t>
  </si>
  <si>
    <t>al-Qatif</t>
  </si>
  <si>
    <t>al_qatif</t>
  </si>
  <si>
    <t>108927</t>
  </si>
  <si>
    <t>al-Qudayr</t>
  </si>
  <si>
    <t>al_qudayr</t>
  </si>
  <si>
    <t>173388</t>
  </si>
  <si>
    <t>al-Qusaymah</t>
  </si>
  <si>
    <t>al_qusaymah</t>
  </si>
  <si>
    <t>360532</t>
  </si>
  <si>
    <t>al-Ristaq</t>
  </si>
  <si>
    <t>al_ristaq</t>
  </si>
  <si>
    <t>289012</t>
  </si>
  <si>
    <t>as-Salhabiyye</t>
  </si>
  <si>
    <t>al_salhabiye</t>
  </si>
  <si>
    <t>164938</t>
  </si>
  <si>
    <t>as-Salt</t>
  </si>
  <si>
    <t>al_salt</t>
  </si>
  <si>
    <t>250258</t>
  </si>
  <si>
    <t>ash-Shahaniya</t>
  </si>
  <si>
    <t>al_shahaniya</t>
  </si>
  <si>
    <t>11777514</t>
  </si>
  <si>
    <t>ash-Shirqat</t>
  </si>
  <si>
    <t>al_shirqat</t>
  </si>
  <si>
    <t>6804454</t>
  </si>
  <si>
    <t>as-Shunah al-Janubiyyah</t>
  </si>
  <si>
    <t>al_shuna_al_janubiyya</t>
  </si>
  <si>
    <t>246816</t>
  </si>
  <si>
    <t>as-Sukhna</t>
  </si>
  <si>
    <t>al_sukhna</t>
  </si>
  <si>
    <t>172425</t>
  </si>
  <si>
    <t>As Suwayda District</t>
  </si>
  <si>
    <t>al_suwayda_district</t>
  </si>
  <si>
    <t>172409</t>
  </si>
  <si>
    <t>Al-Udayn</t>
  </si>
  <si>
    <t>al_udayn</t>
  </si>
  <si>
    <t>78543</t>
  </si>
  <si>
    <t>al-Ula</t>
  </si>
  <si>
    <t>al_ula</t>
  </si>
  <si>
    <t>108841</t>
  </si>
  <si>
    <t>al-Ushshah</t>
  </si>
  <si>
    <t>al_ushshah</t>
  </si>
  <si>
    <t>11129572</t>
  </si>
  <si>
    <t>Al Wahiba</t>
  </si>
  <si>
    <t>al_wahiba</t>
  </si>
  <si>
    <t>289096</t>
  </si>
  <si>
    <t>Aleppo</t>
  </si>
  <si>
    <t>aleppo</t>
  </si>
  <si>
    <t>170063</t>
  </si>
  <si>
    <t>Alexandria</t>
  </si>
  <si>
    <t>alexandria</t>
  </si>
  <si>
    <t>361058</t>
  </si>
  <si>
    <t>Algeria</t>
  </si>
  <si>
    <t>algeria</t>
  </si>
  <si>
    <t>2589581</t>
  </si>
  <si>
    <t>Algiers</t>
  </si>
  <si>
    <t>algier</t>
  </si>
  <si>
    <t>2507480</t>
  </si>
  <si>
    <t>amman</t>
  </si>
  <si>
    <t>250441</t>
  </si>
  <si>
    <t>Amuda</t>
  </si>
  <si>
    <t>amuda</t>
  </si>
  <si>
    <t>173230</t>
  </si>
  <si>
    <t>Andalucía</t>
  </si>
  <si>
    <t>andalusia</t>
  </si>
  <si>
    <t>2593109</t>
  </si>
  <si>
    <t>Anjra</t>
  </si>
  <si>
    <t>anjra</t>
  </si>
  <si>
    <t>2549894</t>
  </si>
  <si>
    <t>Antakya</t>
  </si>
  <si>
    <t>antakya</t>
  </si>
  <si>
    <t>323779</t>
  </si>
  <si>
    <t>Anti-Lebanon Mountains</t>
  </si>
  <si>
    <t>anti_lebanon_mountains</t>
  </si>
  <si>
    <t>173153</t>
  </si>
  <si>
    <t>Aqrah</t>
  </si>
  <si>
    <t>aqrah</t>
  </si>
  <si>
    <t>98822</t>
  </si>
  <si>
    <t>ar-Raqqa</t>
  </si>
  <si>
    <t>ar_raqqa</t>
  </si>
  <si>
    <t>172955</t>
  </si>
  <si>
    <t>ar-Rass</t>
  </si>
  <si>
    <t>ar_rass</t>
  </si>
  <si>
    <t>108435</t>
  </si>
  <si>
    <t>ʕArab ar-Rašāyda Tribal Area</t>
  </si>
  <si>
    <t>arab_al_rashayida</t>
  </si>
  <si>
    <t>284915</t>
  </si>
  <si>
    <t>Arab Salih</t>
  </si>
  <si>
    <t>arab_salih</t>
  </si>
  <si>
    <t>359072</t>
  </si>
  <si>
    <t>Arabian Peninsula</t>
  </si>
  <si>
    <t>arabian_peninsula</t>
  </si>
  <si>
    <t>6957697</t>
  </si>
  <si>
    <t>Arabkhane</t>
  </si>
  <si>
    <t>arabkhane</t>
  </si>
  <si>
    <t>7052605</t>
  </si>
  <si>
    <t>Arwad</t>
  </si>
  <si>
    <t>arwad</t>
  </si>
  <si>
    <t>172879</t>
  </si>
  <si>
    <t>as-Sulayyil</t>
  </si>
  <si>
    <t>as_sulayyil</t>
  </si>
  <si>
    <t>10972321</t>
  </si>
  <si>
    <t>Ashdod</t>
  </si>
  <si>
    <t>ashdod</t>
  </si>
  <si>
    <t>295629</t>
  </si>
  <si>
    <t>Asir</t>
  </si>
  <si>
    <t>asir</t>
  </si>
  <si>
    <t>108179</t>
  </si>
  <si>
    <t>Assal al-Ward</t>
  </si>
  <si>
    <t>assal_al_ward</t>
  </si>
  <si>
    <t>172487</t>
  </si>
  <si>
    <t>Aswan</t>
  </si>
  <si>
    <t>aswan</t>
  </si>
  <si>
    <t>359792</t>
  </si>
  <si>
    <t>Asyut</t>
  </si>
  <si>
    <t>asyut</t>
  </si>
  <si>
    <t>359783</t>
  </si>
  <si>
    <t>ath-Thamad</t>
  </si>
  <si>
    <t>ath_thamad</t>
  </si>
  <si>
    <t>12602499</t>
  </si>
  <si>
    <t>Atlas Mountains</t>
  </si>
  <si>
    <t>atlas_mountains</t>
  </si>
  <si>
    <t>2556769</t>
  </si>
  <si>
    <t>az-Zuhrah</t>
  </si>
  <si>
    <t>az_zuhrah</t>
  </si>
  <si>
    <t>6940731</t>
  </si>
  <si>
    <t>Badr al-Jadīdah</t>
  </si>
  <si>
    <t>badr_al_jadidah</t>
  </si>
  <si>
    <t>11075954</t>
  </si>
  <si>
    <t>Baghdad</t>
  </si>
  <si>
    <t>baghdad</t>
  </si>
  <si>
    <t>98182</t>
  </si>
  <si>
    <t>Bahla</t>
  </si>
  <si>
    <t>bahla</t>
  </si>
  <si>
    <t>288899</t>
  </si>
  <si>
    <t>Bahrain</t>
  </si>
  <si>
    <t>bahrain</t>
  </si>
  <si>
    <t>290291</t>
  </si>
  <si>
    <t>Bahzani</t>
  </si>
  <si>
    <t>bahzani</t>
  </si>
  <si>
    <t>98144</t>
  </si>
  <si>
    <t>Balat</t>
  </si>
  <si>
    <t>balat</t>
  </si>
  <si>
    <t>359316</t>
  </si>
  <si>
    <t>Balkh Region</t>
  </si>
  <si>
    <t>balkh_region</t>
  </si>
  <si>
    <t>1147288</t>
  </si>
  <si>
    <t>Bandar Moqam</t>
  </si>
  <si>
    <t>bandar_moqam</t>
  </si>
  <si>
    <t>141660</t>
  </si>
  <si>
    <t>Bani Suwayf</t>
  </si>
  <si>
    <t>bani_suwayf</t>
  </si>
  <si>
    <t>359173</t>
  </si>
  <si>
    <t>Barr Elias</t>
  </si>
  <si>
    <t>barr_elias</t>
  </si>
  <si>
    <t>276955</t>
  </si>
  <si>
    <t>Barramiyya</t>
  </si>
  <si>
    <t>barramiya</t>
  </si>
  <si>
    <t>12090683</t>
  </si>
  <si>
    <t>Baskinta</t>
  </si>
  <si>
    <t>baskinta</t>
  </si>
  <si>
    <t>276463</t>
  </si>
  <si>
    <t>Basmat Tab'un</t>
  </si>
  <si>
    <t>basmat_tabun</t>
  </si>
  <si>
    <t>295553</t>
  </si>
  <si>
    <t>Basra</t>
  </si>
  <si>
    <t>basra</t>
  </si>
  <si>
    <t>99532</t>
  </si>
  <si>
    <t>Bayt al-Faqih</t>
  </si>
  <si>
    <t>bayt_al_faqih</t>
  </si>
  <si>
    <t>76991</t>
  </si>
  <si>
    <t>Bayt Lif</t>
  </si>
  <si>
    <t>bayt_lif</t>
  </si>
  <si>
    <t>276709</t>
  </si>
  <si>
    <t>beirut</t>
  </si>
  <si>
    <t>276781</t>
  </si>
  <si>
    <t>Ben Gardane</t>
  </si>
  <si>
    <t>bengardane</t>
  </si>
  <si>
    <t>2472431</t>
  </si>
  <si>
    <t>Benghazi</t>
  </si>
  <si>
    <t>benghazi</t>
  </si>
  <si>
    <t>88319</t>
  </si>
  <si>
    <t>Beqaa</t>
  </si>
  <si>
    <t>beqaa</t>
  </si>
  <si>
    <t>280282</t>
  </si>
  <si>
    <t>Bayt Liqya</t>
  </si>
  <si>
    <t>bet_liqya</t>
  </si>
  <si>
    <t>284312</t>
  </si>
  <si>
    <t>Bethlehem</t>
  </si>
  <si>
    <t>bethlehem</t>
  </si>
  <si>
    <t>284315</t>
  </si>
  <si>
    <t>Bi’na</t>
  </si>
  <si>
    <t>biine</t>
  </si>
  <si>
    <t>295411</t>
  </si>
  <si>
    <t>Bilad Ghamid</t>
  </si>
  <si>
    <t>bilad_ghamid</t>
  </si>
  <si>
    <t>107439</t>
  </si>
  <si>
    <t>Bir al-Abd</t>
  </si>
  <si>
    <t>bir_al_abd</t>
  </si>
  <si>
    <t>410142</t>
  </si>
  <si>
    <t>Bir al-Maksur</t>
  </si>
  <si>
    <t>bir_el_maksur</t>
  </si>
  <si>
    <t>295404</t>
  </si>
  <si>
    <t>Bir Qatiya</t>
  </si>
  <si>
    <t>bir_qatia</t>
  </si>
  <si>
    <t>350593</t>
  </si>
  <si>
    <t>Birzeit</t>
  </si>
  <si>
    <t>birzeit</t>
  </si>
  <si>
    <t>284237</t>
  </si>
  <si>
    <t>Bisha</t>
  </si>
  <si>
    <t>bisha</t>
  </si>
  <si>
    <t>103369</t>
  </si>
  <si>
    <t>Bechmezzine</t>
  </si>
  <si>
    <t>bishmizzine</t>
  </si>
  <si>
    <t>276466</t>
  </si>
  <si>
    <t>Blas</t>
  </si>
  <si>
    <t>blas</t>
  </si>
  <si>
    <t>171903</t>
  </si>
  <si>
    <t>Borno</t>
  </si>
  <si>
    <t>borno</t>
  </si>
  <si>
    <t>2346794</t>
  </si>
  <si>
    <t>bou_saada</t>
  </si>
  <si>
    <t>2502385</t>
  </si>
  <si>
    <t>Bourghliyyeh</t>
  </si>
  <si>
    <t>bourghliyeh</t>
  </si>
  <si>
    <t>7870228</t>
  </si>
  <si>
    <t>Bout al-Fil</t>
  </si>
  <si>
    <t>bout_el_fil</t>
  </si>
  <si>
    <t>2434577</t>
  </si>
  <si>
    <t>Branes</t>
  </si>
  <si>
    <t>branes</t>
  </si>
  <si>
    <t>2553727</t>
  </si>
  <si>
    <t>Bu'ayna Nujaydat</t>
  </si>
  <si>
    <t>buayna_nujaydat</t>
  </si>
  <si>
    <t>11979636</t>
  </si>
  <si>
    <t>al-Bukayriyyah</t>
  </si>
  <si>
    <t>bukayriya</t>
  </si>
  <si>
    <t xml:space="preserve"> 109878</t>
  </si>
  <si>
    <t>Bukhara</t>
  </si>
  <si>
    <t>bukhara</t>
  </si>
  <si>
    <t>1217662</t>
  </si>
  <si>
    <t>Buraymi</t>
  </si>
  <si>
    <t>buraymi</t>
  </si>
  <si>
    <t>289317</t>
  </si>
  <si>
    <t>Burj ach-Chimali</t>
  </si>
  <si>
    <t>burj_el_shemali</t>
  </si>
  <si>
    <t>276129</t>
  </si>
  <si>
    <t>Bosra</t>
  </si>
  <si>
    <t>busra</t>
  </si>
  <si>
    <t>171126</t>
  </si>
  <si>
    <t>Butana</t>
  </si>
  <si>
    <t>butana</t>
  </si>
  <si>
    <t>379593</t>
  </si>
  <si>
    <t>cairo</t>
  </si>
  <si>
    <t>360630</t>
  </si>
  <si>
    <t>Cameroon (North Region)</t>
  </si>
  <si>
    <t>cameroon_north_region</t>
  </si>
  <si>
    <t>2231320</t>
  </si>
  <si>
    <t>Casablanca</t>
  </si>
  <si>
    <t>casablanca</t>
  </si>
  <si>
    <t>2553604</t>
  </si>
  <si>
    <t>Casablanca-Settat</t>
  </si>
  <si>
    <t>casablanca-settat</t>
  </si>
  <si>
    <t>11281879</t>
  </si>
  <si>
    <t>Central Asia</t>
  </si>
  <si>
    <t>central_asia</t>
  </si>
  <si>
    <t>1479427</t>
  </si>
  <si>
    <t>Ceuta</t>
  </si>
  <si>
    <t>ceuta</t>
  </si>
  <si>
    <t>6362987</t>
  </si>
  <si>
    <t>Chad</t>
  </si>
  <si>
    <t>chad</t>
  </si>
  <si>
    <t>2434508</t>
  </si>
  <si>
    <t>Chanay</t>
  </si>
  <si>
    <t>chanay</t>
  </si>
  <si>
    <t>267672</t>
  </si>
  <si>
    <t>Chebba</t>
  </si>
  <si>
    <t>chebba</t>
  </si>
  <si>
    <t>7870311</t>
  </si>
  <si>
    <t>Chefchaouen</t>
  </si>
  <si>
    <t>chefchaouen</t>
  </si>
  <si>
    <t>2553455</t>
  </si>
  <si>
    <t>Cherchell</t>
  </si>
  <si>
    <t>cherchell</t>
  </si>
  <si>
    <t>2501440</t>
  </si>
  <si>
    <t>Cilicia</t>
  </si>
  <si>
    <t>cilicia</t>
  </si>
  <si>
    <t>8378491</t>
  </si>
  <si>
    <t>Comoro Islands</t>
  </si>
  <si>
    <t>comoro_islands</t>
  </si>
  <si>
    <t>921929</t>
  </si>
  <si>
    <t>Constantine</t>
  </si>
  <si>
    <t>constantine</t>
  </si>
  <si>
    <t>2501152</t>
  </si>
  <si>
    <t>Çukurova</t>
  </si>
  <si>
    <t>cukurova</t>
  </si>
  <si>
    <t>318458</t>
  </si>
  <si>
    <t>Cyprus</t>
  </si>
  <si>
    <t>cyprus</t>
  </si>
  <si>
    <t>146669</t>
  </si>
  <si>
    <t>Cyrenaica</t>
  </si>
  <si>
    <t>cyrenaica</t>
  </si>
  <si>
    <t>88252</t>
  </si>
  <si>
    <t>Dagestan</t>
  </si>
  <si>
    <t>dagestan</t>
  </si>
  <si>
    <t>567292</t>
  </si>
  <si>
    <t>Dahab</t>
  </si>
  <si>
    <t>dahab</t>
  </si>
  <si>
    <t>358245</t>
  </si>
  <si>
    <t>Dahlak Archipelago</t>
  </si>
  <si>
    <t>dahlak_archipelago</t>
  </si>
  <si>
    <t>340218</t>
  </si>
  <si>
    <t>Dakhla</t>
  </si>
  <si>
    <t>dakhla</t>
  </si>
  <si>
    <t>358471</t>
  </si>
  <si>
    <t>Damascus</t>
  </si>
  <si>
    <t>damascus</t>
  </si>
  <si>
    <t>170654</t>
  </si>
  <si>
    <t>Danagözü</t>
  </si>
  <si>
    <t>danagoezue</t>
  </si>
  <si>
    <t>Dayr as-Sudan</t>
  </si>
  <si>
    <t>dar_is_sudan</t>
  </si>
  <si>
    <t>284085</t>
  </si>
  <si>
    <t>Darawah</t>
  </si>
  <si>
    <t>darawah</t>
  </si>
  <si>
    <t>358386</t>
  </si>
  <si>
    <t>Darfur</t>
  </si>
  <si>
    <t>darfur</t>
  </si>
  <si>
    <t>8693107</t>
  </si>
  <si>
    <t>Dariz</t>
  </si>
  <si>
    <t>dariz</t>
  </si>
  <si>
    <t>289426</t>
  </si>
  <si>
    <t>Dasht-e Azadegan</t>
  </si>
  <si>
    <t>dasht_e_azadegan</t>
  </si>
  <si>
    <t>6899807</t>
  </si>
  <si>
    <t>Debdou</t>
  </si>
  <si>
    <t>debdou</t>
  </si>
  <si>
    <t>2552407</t>
  </si>
  <si>
    <t>Dayr az-Zor</t>
  </si>
  <si>
    <t>deir_ez_zor</t>
  </si>
  <si>
    <t>170794</t>
  </si>
  <si>
    <t>Dellys</t>
  </si>
  <si>
    <t>dellys</t>
  </si>
  <si>
    <t>2500583</t>
  </si>
  <si>
    <t>Derik</t>
  </si>
  <si>
    <t>derek</t>
  </si>
  <si>
    <t>8630817</t>
  </si>
  <si>
    <t>Dhahran</t>
  </si>
  <si>
    <t>dhahran</t>
  </si>
  <si>
    <t>107797</t>
  </si>
  <si>
    <t>Dhale</t>
  </si>
  <si>
    <t>dhale</t>
  </si>
  <si>
    <t>6940875</t>
  </si>
  <si>
    <t>Dhofar</t>
  </si>
  <si>
    <t>dhofar</t>
  </si>
  <si>
    <t>285879</t>
  </si>
  <si>
    <t>Djedaa</t>
  </si>
  <si>
    <t>djedaa</t>
  </si>
  <si>
    <t>2433675</t>
  </si>
  <si>
    <t>Djelfa</t>
  </si>
  <si>
    <t>djelfa</t>
  </si>
  <si>
    <t>2500017</t>
  </si>
  <si>
    <t>Djerba</t>
  </si>
  <si>
    <t>djerba</t>
  </si>
  <si>
    <t>2470181</t>
  </si>
  <si>
    <t>Djibouti</t>
  </si>
  <si>
    <t>djibouti</t>
  </si>
  <si>
    <t>223816</t>
  </si>
  <si>
    <t>Doha</t>
  </si>
  <si>
    <t>doha</t>
  </si>
  <si>
    <t>290030</t>
  </si>
  <si>
    <t>Douz</t>
  </si>
  <si>
    <t>douz</t>
  </si>
  <si>
    <t>2471287</t>
  </si>
  <si>
    <t>Dubai</t>
  </si>
  <si>
    <t>dubai</t>
  </si>
  <si>
    <t>292223</t>
  </si>
  <si>
    <t>Eastern Anatolia Region</t>
  </si>
  <si>
    <t>eastern_anatolia_region</t>
  </si>
  <si>
    <t>10922505</t>
  </si>
  <si>
    <t>ad-Dhaïra</t>
  </si>
  <si>
    <t>ed_dhayra</t>
  </si>
  <si>
    <t>280729</t>
  </si>
  <si>
    <t>Egypt</t>
  </si>
  <si>
    <t>egypt</t>
  </si>
  <si>
    <t>357994</t>
  </si>
  <si>
    <t>Egypt-Sudan</t>
  </si>
  <si>
    <t>egypt_sudan</t>
  </si>
  <si>
    <t>diaGroup</t>
  </si>
  <si>
    <t>al-Balyana</t>
  </si>
  <si>
    <t>el_balyana</t>
  </si>
  <si>
    <t>361435</t>
  </si>
  <si>
    <t>al-Hamma</t>
  </si>
  <si>
    <t>el_hamma</t>
  </si>
  <si>
    <t>2470606</t>
  </si>
  <si>
    <t>al-Haouz Region</t>
  </si>
  <si>
    <t>el_haouz</t>
  </si>
  <si>
    <t>2550180</t>
  </si>
  <si>
    <t>al-Jadida</t>
  </si>
  <si>
    <t>el_jadida</t>
  </si>
  <si>
    <t>2550078</t>
  </si>
  <si>
    <t>el_karantina</t>
  </si>
  <si>
    <t>6274963</t>
  </si>
  <si>
    <t>al-Khiyara</t>
  </si>
  <si>
    <t>el_khiara</t>
  </si>
  <si>
    <t>279726</t>
  </si>
  <si>
    <t>al-May</t>
  </si>
  <si>
    <t>el_maay</t>
  </si>
  <si>
    <t>2473569</t>
  </si>
  <si>
    <t>al-Marj</t>
  </si>
  <si>
    <t>el_marj</t>
  </si>
  <si>
    <t>279498</t>
  </si>
  <si>
    <t>al-Qa'a</t>
  </si>
  <si>
    <t>el_qaa</t>
  </si>
  <si>
    <t>279268</t>
  </si>
  <si>
    <t>Erbil</t>
  </si>
  <si>
    <t>erbil</t>
  </si>
  <si>
    <t>95446</t>
  </si>
  <si>
    <t>Eritrea</t>
  </si>
  <si>
    <t>eritrea</t>
  </si>
  <si>
    <t>338010</t>
  </si>
  <si>
    <t>Errachidia</t>
  </si>
  <si>
    <t>errachidia</t>
  </si>
  <si>
    <t>7280528</t>
  </si>
  <si>
    <t>Hara Sghira Er-Riadh</t>
  </si>
  <si>
    <t>erriadh</t>
  </si>
  <si>
    <t>2473738</t>
  </si>
  <si>
    <t>Essaouira</t>
  </si>
  <si>
    <t>essaouira</t>
  </si>
  <si>
    <t>118817185</t>
  </si>
  <si>
    <t>Fayyum</t>
  </si>
  <si>
    <t>faiyum</t>
  </si>
  <si>
    <t>361323</t>
  </si>
  <si>
    <t>Farafra</t>
  </si>
  <si>
    <t>farafra</t>
  </si>
  <si>
    <t>350661</t>
  </si>
  <si>
    <t>Faynan</t>
  </si>
  <si>
    <t>faynan</t>
  </si>
  <si>
    <t>7015785</t>
  </si>
  <si>
    <t>Fez</t>
  </si>
  <si>
    <t>fez</t>
  </si>
  <si>
    <t>2548885</t>
  </si>
  <si>
    <t>Fezzan</t>
  </si>
  <si>
    <t>fezzan</t>
  </si>
  <si>
    <t>2217514</t>
  </si>
  <si>
    <t>Gabès</t>
  </si>
  <si>
    <t>gabes</t>
  </si>
  <si>
    <t>2468369</t>
  </si>
  <si>
    <t>Galilee</t>
  </si>
  <si>
    <t>galilee</t>
  </si>
  <si>
    <t>294932</t>
  </si>
  <si>
    <t>Gaza</t>
  </si>
  <si>
    <t>gaza</t>
  </si>
  <si>
    <t>281133</t>
  </si>
  <si>
    <t>Gharif al-Ghuzlan</t>
  </si>
  <si>
    <t>gharif_al_ghuzlan</t>
  </si>
  <si>
    <t>356671</t>
  </si>
  <si>
    <t>Ghasri</t>
  </si>
  <si>
    <t>ghasri</t>
  </si>
  <si>
    <t>8299713</t>
  </si>
  <si>
    <t>ghawr_al_safi</t>
  </si>
  <si>
    <t>247132</t>
  </si>
  <si>
    <t>Ghazaouet</t>
  </si>
  <si>
    <t>ghazaouet</t>
  </si>
  <si>
    <t>2496042</t>
  </si>
  <si>
    <t>Golan Heights</t>
  </si>
  <si>
    <t>golan_heights</t>
  </si>
  <si>
    <t>173708</t>
  </si>
  <si>
    <t>Gozo</t>
  </si>
  <si>
    <t>gozo</t>
  </si>
  <si>
    <t>2563049</t>
  </si>
  <si>
    <t>Granada</t>
  </si>
  <si>
    <t>granada</t>
  </si>
  <si>
    <t>2517117</t>
  </si>
  <si>
    <t>Guellala</t>
  </si>
  <si>
    <t>guellala</t>
  </si>
  <si>
    <t>2468321</t>
  </si>
  <si>
    <t>Güroymak</t>
  </si>
  <si>
    <t>gueroymak</t>
  </si>
  <si>
    <t>8630852</t>
  </si>
  <si>
    <t>Gulf</t>
  </si>
  <si>
    <t>gulf_reg</t>
  </si>
  <si>
    <t>12218088</t>
  </si>
  <si>
    <t>Gzenaya</t>
  </si>
  <si>
    <t>gzenaya</t>
  </si>
  <si>
    <t>6546456</t>
  </si>
  <si>
    <t>Habban</t>
  </si>
  <si>
    <t>habban</t>
  </si>
  <si>
    <t>7340056</t>
  </si>
  <si>
    <t>Hadramaut</t>
  </si>
  <si>
    <t>hadramaut</t>
  </si>
  <si>
    <t>75410</t>
  </si>
  <si>
    <t>Haifa</t>
  </si>
  <si>
    <t>haifa</t>
  </si>
  <si>
    <t>294801</t>
  </si>
  <si>
    <t>hail</t>
  </si>
  <si>
    <t>106281</t>
  </si>
  <si>
    <t>hail_reg</t>
  </si>
  <si>
    <t>106280</t>
  </si>
  <si>
    <t>Hajajira</t>
  </si>
  <si>
    <t>hajajra</t>
  </si>
  <si>
    <t>8264716</t>
  </si>
  <si>
    <t>Halaf Tabbash</t>
  </si>
  <si>
    <t>halaf_tabbash</t>
  </si>
  <si>
    <t>8264717</t>
  </si>
  <si>
    <t>Halfa al-Jadidah</t>
  </si>
  <si>
    <t>halfa_al-jadida</t>
  </si>
  <si>
    <t>374272</t>
  </si>
  <si>
    <t>Hama</t>
  </si>
  <si>
    <t>hama</t>
  </si>
  <si>
    <t>170017</t>
  </si>
  <si>
    <t>Hamam</t>
  </si>
  <si>
    <t>hamam</t>
  </si>
  <si>
    <t>8309927</t>
  </si>
  <si>
    <t>Haouch al-Harime</t>
  </si>
  <si>
    <t>haouch_el_harime</t>
  </si>
  <si>
    <t>274203</t>
  </si>
  <si>
    <t>Haouch an-Nabi</t>
  </si>
  <si>
    <t>haouch_el_nabi</t>
  </si>
  <si>
    <t>274198</t>
  </si>
  <si>
    <t>Harduf</t>
  </si>
  <si>
    <t>harduf</t>
  </si>
  <si>
    <t>8265537</t>
  </si>
  <si>
    <t>Haret al-Jadide</t>
  </si>
  <si>
    <t>haret_ej_jdide</t>
  </si>
  <si>
    <t>274471</t>
  </si>
  <si>
    <t>Harran</t>
  </si>
  <si>
    <t>harran</t>
  </si>
  <si>
    <t>439166</t>
  </si>
  <si>
    <t>Harran-Urfa Region</t>
  </si>
  <si>
    <t>harran_urfa</t>
  </si>
  <si>
    <t>312531</t>
  </si>
  <si>
    <t>Hasankeyf</t>
  </si>
  <si>
    <t>hasankeyf</t>
  </si>
  <si>
    <t>312479</t>
  </si>
  <si>
    <t>Hasköy</t>
  </si>
  <si>
    <t>haskoey</t>
  </si>
  <si>
    <t>8630863</t>
  </si>
  <si>
    <t>Hatay-Antioch Region</t>
  </si>
  <si>
    <t>hatay_antioch</t>
  </si>
  <si>
    <t>Hawran Region</t>
  </si>
  <si>
    <t>hauran</t>
  </si>
  <si>
    <t>169734</t>
  </si>
  <si>
    <t>Hawayij adh-Dhyab</t>
  </si>
  <si>
    <t>hawayig_ad_dyab</t>
  </si>
  <si>
    <t>7632490</t>
  </si>
  <si>
    <t>Hawran</t>
  </si>
  <si>
    <t>hawraan</t>
  </si>
  <si>
    <t>249155</t>
  </si>
  <si>
    <t>Hebron</t>
  </si>
  <si>
    <t>hebron</t>
  </si>
  <si>
    <t>285066</t>
  </si>
  <si>
    <t>Hejaz</t>
  </si>
  <si>
    <t>hejaz</t>
  </si>
  <si>
    <t>109600</t>
  </si>
  <si>
    <t>Hillah</t>
  </si>
  <si>
    <t>hillah</t>
  </si>
  <si>
    <t>99347</t>
  </si>
  <si>
    <t>Hit</t>
  </si>
  <si>
    <t>hit</t>
  </si>
  <si>
    <t>95788</t>
  </si>
  <si>
    <t>Hofuf</t>
  </si>
  <si>
    <t>hofuf</t>
  </si>
  <si>
    <t>109571</t>
  </si>
  <si>
    <t>Holon</t>
  </si>
  <si>
    <t>holon</t>
  </si>
  <si>
    <t>294751</t>
  </si>
  <si>
    <t>Homs</t>
  </si>
  <si>
    <t>homs</t>
  </si>
  <si>
    <t>169577</t>
  </si>
  <si>
    <t>Houmt Souk</t>
  </si>
  <si>
    <t>houmt_souk</t>
  </si>
  <si>
    <t>2470384</t>
  </si>
  <si>
    <t>Hujairat Dhara</t>
  </si>
  <si>
    <t>hujeirat_dhara</t>
  </si>
  <si>
    <t>11979651</t>
  </si>
  <si>
    <t>Hurghada</t>
  </si>
  <si>
    <t>hurghada</t>
  </si>
  <si>
    <t>361291</t>
  </si>
  <si>
    <t>Hyayna Region</t>
  </si>
  <si>
    <t>hyayna</t>
  </si>
  <si>
    <t>2527366</t>
  </si>
  <si>
    <t>Ibb</t>
  </si>
  <si>
    <t>ibb</t>
  </si>
  <si>
    <t>74477</t>
  </si>
  <si>
    <t>Ibri</t>
  </si>
  <si>
    <t>ibri</t>
  </si>
  <si>
    <t>287830</t>
  </si>
  <si>
    <t>Ibtin</t>
  </si>
  <si>
    <t>ibtin</t>
  </si>
  <si>
    <t>294661</t>
  </si>
  <si>
    <t>İdil</t>
  </si>
  <si>
    <t>idil_aazex</t>
  </si>
  <si>
    <t>442034</t>
  </si>
  <si>
    <t>Idlib</t>
  </si>
  <si>
    <t>idlib</t>
  </si>
  <si>
    <t>169389</t>
  </si>
  <si>
    <t>Iksal</t>
  </si>
  <si>
    <t>iksal</t>
  </si>
  <si>
    <t>294658</t>
  </si>
  <si>
    <t>al-Minya</t>
  </si>
  <si>
    <t>il_minya</t>
  </si>
  <si>
    <t>360686</t>
  </si>
  <si>
    <t>al-Bashandi</t>
  </si>
  <si>
    <t>ilbashandi</t>
  </si>
  <si>
    <t>Iran</t>
  </si>
  <si>
    <t>iran</t>
  </si>
  <si>
    <t>130758</t>
  </si>
  <si>
    <t>Iraq</t>
  </si>
  <si>
    <t>iraq</t>
  </si>
  <si>
    <t>99237</t>
  </si>
  <si>
    <t>irbid</t>
  </si>
  <si>
    <t>248946</t>
  </si>
  <si>
    <t>irbid_reg</t>
  </si>
  <si>
    <t>248944</t>
  </si>
  <si>
    <t>Isawiya</t>
  </si>
  <si>
    <t>isawiya</t>
  </si>
  <si>
    <t>294643</t>
  </si>
  <si>
    <t>Iskenderun</t>
  </si>
  <si>
    <t>iskenderun</t>
  </si>
  <si>
    <t>311111</t>
  </si>
  <si>
    <t>Ismant</t>
  </si>
  <si>
    <t>ismant</t>
  </si>
  <si>
    <t>355453</t>
  </si>
  <si>
    <t>Israel</t>
  </si>
  <si>
    <t>israel</t>
  </si>
  <si>
    <t>294640</t>
  </si>
  <si>
    <t>at-Tayybe</t>
  </si>
  <si>
    <t>it_tayybe</t>
  </si>
  <si>
    <t>7870314</t>
  </si>
  <si>
    <t>Izki</t>
  </si>
  <si>
    <t>izki</t>
  </si>
  <si>
    <t>287814</t>
  </si>
  <si>
    <t>Jabal ad-Druz</t>
  </si>
  <si>
    <t>jabal_al_druze</t>
  </si>
  <si>
    <t>170560</t>
  </si>
  <si>
    <t>Jabal al-Malbad</t>
  </si>
  <si>
    <t>jabal_al_malbad</t>
  </si>
  <si>
    <t>442832</t>
  </si>
  <si>
    <t>Jabal at-Tih</t>
  </si>
  <si>
    <t>jabal_at_tih</t>
  </si>
  <si>
    <t>347305</t>
  </si>
  <si>
    <t>Jabal Awliya</t>
  </si>
  <si>
    <t>jabal_awliya</t>
  </si>
  <si>
    <t>378070</t>
  </si>
  <si>
    <t>Jabal Fayfa</t>
  </si>
  <si>
    <t>jabal_fayfa</t>
  </si>
  <si>
    <t>106666</t>
  </si>
  <si>
    <t>Jabal Sarabit al-Khadim</t>
  </si>
  <si>
    <t>jabal_sarabit_al_khadim</t>
  </si>
  <si>
    <t>349599</t>
  </si>
  <si>
    <t>Jabal Shammar</t>
  </si>
  <si>
    <t>jabal_shammar</t>
  </si>
  <si>
    <t>105532</t>
  </si>
  <si>
    <t>Jaffa</t>
  </si>
  <si>
    <t>jaffa</t>
  </si>
  <si>
    <t>293253</t>
  </si>
  <si>
    <t>Jaghjagh</t>
  </si>
  <si>
    <t>jaghjagh</t>
  </si>
  <si>
    <t>320062</t>
  </si>
  <si>
    <t>Jbala</t>
  </si>
  <si>
    <t>jbala</t>
  </si>
  <si>
    <t>10952626</t>
  </si>
  <si>
    <t>Jbel Rat</t>
  </si>
  <si>
    <t>jbel_rat</t>
  </si>
  <si>
    <t>2538386</t>
  </si>
  <si>
    <t>jeddah</t>
  </si>
  <si>
    <t>105343</t>
  </si>
  <si>
    <t>Jerusalem</t>
  </si>
  <si>
    <t>jerusalem</t>
  </si>
  <si>
    <t>281184</t>
  </si>
  <si>
    <t>Jibal ash-Sharah</t>
  </si>
  <si>
    <t>jibal_ash_sharah</t>
  </si>
  <si>
    <t>246895</t>
  </si>
  <si>
    <t>Jibla</t>
  </si>
  <si>
    <t>jibla</t>
  </si>
  <si>
    <t>74185</t>
  </si>
  <si>
    <t>Jijel</t>
  </si>
  <si>
    <t>jijel</t>
  </si>
  <si>
    <t>2492913</t>
  </si>
  <si>
    <t>Jisr az-Zarqa</t>
  </si>
  <si>
    <t>jisr_az_zarqa</t>
  </si>
  <si>
    <t>294626</t>
  </si>
  <si>
    <t>Jnanate</t>
  </si>
  <si>
    <t>jnanate</t>
  </si>
  <si>
    <t>11042130</t>
  </si>
  <si>
    <t>jordan</t>
  </si>
  <si>
    <t>248816</t>
  </si>
  <si>
    <t>Juba</t>
  </si>
  <si>
    <t>juba</t>
  </si>
  <si>
    <t>373303</t>
  </si>
  <si>
    <t>Jubb'adin</t>
  </si>
  <si>
    <t>jubb_adin</t>
  </si>
  <si>
    <t>169008</t>
  </si>
  <si>
    <t>Jurdeih</t>
  </si>
  <si>
    <t>jurdeih</t>
  </si>
  <si>
    <t>294617</t>
  </si>
  <si>
    <t>Kaabiyya</t>
  </si>
  <si>
    <t>kaabiyya</t>
  </si>
  <si>
    <t>8265524</t>
  </si>
  <si>
    <t>Kadougli</t>
  </si>
  <si>
    <t>kadugli</t>
  </si>
  <si>
    <t>373141</t>
  </si>
  <si>
    <t>Kafr Ana</t>
  </si>
  <si>
    <t>kafr_ana</t>
  </si>
  <si>
    <t>293962</t>
  </si>
  <si>
    <t>Kafr Yasif</t>
  </si>
  <si>
    <t>kafr_yasif</t>
  </si>
  <si>
    <t>294600</t>
  </si>
  <si>
    <t>ach-Chammana</t>
  </si>
  <si>
    <t>kammaana</t>
  </si>
  <si>
    <t>9618076</t>
  </si>
  <si>
    <t>Kartmin</t>
  </si>
  <si>
    <t>kartmin</t>
  </si>
  <si>
    <t>297404</t>
  </si>
  <si>
    <t>Kenitra</t>
  </si>
  <si>
    <t>kenitra</t>
  </si>
  <si>
    <t>2544571</t>
  </si>
  <si>
    <t>Kerkennah Mellita</t>
  </si>
  <si>
    <t>kerkennah_mellita</t>
  </si>
  <si>
    <t>2469328</t>
  </si>
  <si>
    <t>Kerkennah Oulad Bou Ali</t>
  </si>
  <si>
    <t>kerkennah_oulad_bou_ali</t>
  </si>
  <si>
    <t>2473026</t>
  </si>
  <si>
    <t>Kerkennah Oulad Kacem</t>
  </si>
  <si>
    <t>kerkennah_oulad_kacem</t>
  </si>
  <si>
    <t>2473056</t>
  </si>
  <si>
    <t>Kfar Abida</t>
  </si>
  <si>
    <t>kfar_aabida</t>
  </si>
  <si>
    <t>272807</t>
  </si>
  <si>
    <t>Kfar Sghab</t>
  </si>
  <si>
    <t>kfar_sghab</t>
  </si>
  <si>
    <t>272829</t>
  </si>
  <si>
    <t>Khalaf</t>
  </si>
  <si>
    <t>khalaf</t>
  </si>
  <si>
    <t>128105</t>
  </si>
  <si>
    <t>khalde</t>
  </si>
  <si>
    <t>6274035</t>
  </si>
  <si>
    <t>Khartoum</t>
  </si>
  <si>
    <t>khartoum</t>
  </si>
  <si>
    <t>379252</t>
  </si>
  <si>
    <t>Khashm al-Qirbah</t>
  </si>
  <si>
    <t>khashm</t>
  </si>
  <si>
    <t>372527</t>
  </si>
  <si>
    <t>Khawalid</t>
  </si>
  <si>
    <t>khawalid</t>
  </si>
  <si>
    <t>11979650</t>
  </si>
  <si>
    <t>Khatuniya</t>
  </si>
  <si>
    <t>khawetna</t>
  </si>
  <si>
    <t>168210</t>
  </si>
  <si>
    <t>khaybar</t>
  </si>
  <si>
    <t>10972297</t>
  </si>
  <si>
    <t>Khirbat Ras al-Wa'r</t>
  </si>
  <si>
    <t>khirbat_ras_al_war</t>
  </si>
  <si>
    <t>167980</t>
  </si>
  <si>
    <t>Khirbet Selm</t>
  </si>
  <si>
    <t>khirbet_selm</t>
  </si>
  <si>
    <t>272376</t>
  </si>
  <si>
    <t>Khorasan</t>
  </si>
  <si>
    <t>khorasan</t>
  </si>
  <si>
    <t>127374</t>
  </si>
  <si>
    <t>Khorramshahr</t>
  </si>
  <si>
    <t>khorramshahr</t>
  </si>
  <si>
    <t>127319</t>
  </si>
  <si>
    <t>Khuzestan</t>
  </si>
  <si>
    <t>khuzestan</t>
  </si>
  <si>
    <t>127082</t>
  </si>
  <si>
    <t>Kibera</t>
  </si>
  <si>
    <t>kibera</t>
  </si>
  <si>
    <t>192495</t>
  </si>
  <si>
    <t>Kirkuk</t>
  </si>
  <si>
    <t>kirkuk</t>
  </si>
  <si>
    <t>94787</t>
  </si>
  <si>
    <t>Korba</t>
  </si>
  <si>
    <t>korba</t>
  </si>
  <si>
    <t>2467920</t>
  </si>
  <si>
    <t>Kormakitis</t>
  </si>
  <si>
    <t>kormakitis</t>
  </si>
  <si>
    <t>10200799</t>
  </si>
  <si>
    <t>Qsar al-Kebir</t>
  </si>
  <si>
    <t>ksar_el_kebir</t>
  </si>
  <si>
    <t>2544001</t>
  </si>
  <si>
    <t>Kordofan</t>
  </si>
  <si>
    <t>kurdufan</t>
  </si>
  <si>
    <t>371853</t>
  </si>
  <si>
    <t>Kursi</t>
  </si>
  <si>
    <t>kursi</t>
  </si>
  <si>
    <t>173586</t>
  </si>
  <si>
    <t>kuwait</t>
  </si>
  <si>
    <t>285570</t>
  </si>
  <si>
    <t>kuwait_city</t>
  </si>
  <si>
    <t>285787</t>
  </si>
  <si>
    <t>Kwayrish</t>
  </si>
  <si>
    <t>kwayrish</t>
  </si>
  <si>
    <t>94051</t>
  </si>
  <si>
    <t>Larache</t>
  </si>
  <si>
    <t>larache</t>
  </si>
  <si>
    <t>2543549</t>
  </si>
  <si>
    <t>lebanon</t>
  </si>
  <si>
    <t>272103</t>
  </si>
  <si>
    <t>Levant</t>
  </si>
  <si>
    <t>levant</t>
  </si>
  <si>
    <t>11172319</t>
  </si>
  <si>
    <t>Libya</t>
  </si>
  <si>
    <t>libya</t>
  </si>
  <si>
    <t>2215636</t>
  </si>
  <si>
    <t>Lod</t>
  </si>
  <si>
    <t>lod</t>
  </si>
  <si>
    <t>294421</t>
  </si>
  <si>
    <t>Luxor</t>
  </si>
  <si>
    <t>luxor</t>
  </si>
  <si>
    <t>360502</t>
  </si>
  <si>
    <t>Mhamid</t>
  </si>
  <si>
    <t>m_hamid</t>
  </si>
  <si>
    <t>2549574</t>
  </si>
  <si>
    <t>Mabyan</t>
  </si>
  <si>
    <t>mabyan</t>
  </si>
  <si>
    <t>6940718</t>
  </si>
  <si>
    <t>Madaba</t>
  </si>
  <si>
    <t>madaba</t>
  </si>
  <si>
    <t>248370</t>
  </si>
  <si>
    <t>Maghreb</t>
  </si>
  <si>
    <t>maghreb</t>
  </si>
  <si>
    <t>Mahdia</t>
  </si>
  <si>
    <t>mahdia</t>
  </si>
  <si>
    <t>2473572</t>
  </si>
  <si>
    <t>Mahis</t>
  </si>
  <si>
    <t>mahis</t>
  </si>
  <si>
    <t>248299</t>
  </si>
  <si>
    <t>Maiduguri</t>
  </si>
  <si>
    <t>maiduguri</t>
  </si>
  <si>
    <t>2331447</t>
  </si>
  <si>
    <t>Majdal Shams</t>
  </si>
  <si>
    <t>majdal_shams</t>
  </si>
  <si>
    <t>167444</t>
  </si>
  <si>
    <t>Majzar</t>
  </si>
  <si>
    <t>majzar</t>
  </si>
  <si>
    <t>34717</t>
  </si>
  <si>
    <t>mallita</t>
  </si>
  <si>
    <t>2469329</t>
  </si>
  <si>
    <t>Malot Tarshiha</t>
  </si>
  <si>
    <t>maloot_tarshiiha</t>
  </si>
  <si>
    <t>293420</t>
  </si>
  <si>
    <t>Malta</t>
  </si>
  <si>
    <t>malta</t>
  </si>
  <si>
    <t>2562770</t>
  </si>
  <si>
    <t>Manakhah</t>
  </si>
  <si>
    <t>manakhah</t>
  </si>
  <si>
    <t>73091</t>
  </si>
  <si>
    <t>Manama</t>
  </si>
  <si>
    <t>manama</t>
  </si>
  <si>
    <t>290340</t>
  </si>
  <si>
    <t>Manbij</t>
  </si>
  <si>
    <t>manbij</t>
  </si>
  <si>
    <t>167357</t>
  </si>
  <si>
    <t>Mandisha</t>
  </si>
  <si>
    <t>mandisha</t>
  </si>
  <si>
    <t>352916</t>
  </si>
  <si>
    <t>Mardin</t>
  </si>
  <si>
    <t>mardin</t>
  </si>
  <si>
    <t>304797</t>
  </si>
  <si>
    <t>Marib</t>
  </si>
  <si>
    <t>marib</t>
  </si>
  <si>
    <t>72968</t>
  </si>
  <si>
    <t>marouahine</t>
  </si>
  <si>
    <t>271087</t>
  </si>
  <si>
    <t>Marrakesh</t>
  </si>
  <si>
    <t>marrakesh</t>
  </si>
  <si>
    <t>2542997</t>
  </si>
  <si>
    <t>Marsa Matruh</t>
  </si>
  <si>
    <t>marsamatruh</t>
  </si>
  <si>
    <t>352733</t>
  </si>
  <si>
    <t>Mash Had</t>
  </si>
  <si>
    <t>mashhad</t>
  </si>
  <si>
    <t>294321</t>
  </si>
  <si>
    <t>Masira</t>
  </si>
  <si>
    <t>masira</t>
  </si>
  <si>
    <t>287295</t>
  </si>
  <si>
    <t>Masmouda</t>
  </si>
  <si>
    <t>masmouda</t>
  </si>
  <si>
    <t>10992770</t>
  </si>
  <si>
    <t>Massaguet</t>
  </si>
  <si>
    <t>massaguet</t>
  </si>
  <si>
    <t>2428231</t>
  </si>
  <si>
    <t>Massawa</t>
  </si>
  <si>
    <t>massawa</t>
  </si>
  <si>
    <t>330546</t>
  </si>
  <si>
    <t>Mauritania</t>
  </si>
  <si>
    <t>mauritania</t>
  </si>
  <si>
    <t>2378080</t>
  </si>
  <si>
    <t>Mayadin</t>
  </si>
  <si>
    <t>mayadin</t>
  </si>
  <si>
    <t>173480</t>
  </si>
  <si>
    <t>Mazara del Vallo</t>
  </si>
  <si>
    <t>mazara_del_vallo</t>
  </si>
  <si>
    <t>2524205</t>
  </si>
  <si>
    <t>Mazouna</t>
  </si>
  <si>
    <t>mazouna</t>
  </si>
  <si>
    <t>2489987</t>
  </si>
  <si>
    <t>Mecca</t>
  </si>
  <si>
    <t>mecca</t>
  </si>
  <si>
    <t>104515</t>
  </si>
  <si>
    <t>Médéa</t>
  </si>
  <si>
    <t>medea</t>
  </si>
  <si>
    <t>2488835</t>
  </si>
  <si>
    <t>Mehdia</t>
  </si>
  <si>
    <t>mehdia</t>
  </si>
  <si>
    <t>2542768</t>
  </si>
  <si>
    <t>Meknes</t>
  </si>
  <si>
    <t>meknes</t>
  </si>
  <si>
    <t>2542715</t>
  </si>
  <si>
    <t>Mersin</t>
  </si>
  <si>
    <t>mersin</t>
  </si>
  <si>
    <t>304531</t>
  </si>
  <si>
    <t>Mesopotamia</t>
  </si>
  <si>
    <t>mesopotamia</t>
  </si>
  <si>
    <t>Mharde</t>
  </si>
  <si>
    <t>mhardi</t>
  </si>
  <si>
    <t>166742</t>
  </si>
  <si>
    <t>Mila</t>
  </si>
  <si>
    <t>mila</t>
  </si>
  <si>
    <t>2487452</t>
  </si>
  <si>
    <t>Misrata</t>
  </si>
  <si>
    <t>misrata</t>
  </si>
  <si>
    <t>2214846</t>
  </si>
  <si>
    <t>Mocha</t>
  </si>
  <si>
    <t>mocha</t>
  </si>
  <si>
    <t>78751</t>
  </si>
  <si>
    <t>Muhafazat Akkar</t>
  </si>
  <si>
    <t>mohafazat_aakkar</t>
  </si>
  <si>
    <t>6201370</t>
  </si>
  <si>
    <t>morocco</t>
  </si>
  <si>
    <t>2542007</t>
  </si>
  <si>
    <t>Mostaganem</t>
  </si>
  <si>
    <t>mostaganem</t>
  </si>
  <si>
    <t>2487134</t>
  </si>
  <si>
    <t>Mosul</t>
  </si>
  <si>
    <t>mosul</t>
  </si>
  <si>
    <t>99072</t>
  </si>
  <si>
    <t>Mount Carmel</t>
  </si>
  <si>
    <t>mount_carmel</t>
  </si>
  <si>
    <t>294579</t>
  </si>
  <si>
    <t>Mughayyir as-Sirhan</t>
  </si>
  <si>
    <t>mughayyir_as_sirhan</t>
  </si>
  <si>
    <t>250523</t>
  </si>
  <si>
    <t>Muhafazat al-Aqabah</t>
  </si>
  <si>
    <t>muhafazat_al_aqabah</t>
  </si>
  <si>
    <t>443122</t>
  </si>
  <si>
    <t>Muhafazat Ma'an</t>
  </si>
  <si>
    <t>muhafazat_maan</t>
  </si>
  <si>
    <t>248380</t>
  </si>
  <si>
    <t>Muharraq</t>
  </si>
  <si>
    <t>muharraq</t>
  </si>
  <si>
    <t>290332</t>
  </si>
  <si>
    <t>Muhradah</t>
  </si>
  <si>
    <t>muhradah</t>
  </si>
  <si>
    <t>Mukhayyam al-Baq'ah</t>
  </si>
  <si>
    <t>mukhayyam_al_baqah</t>
  </si>
  <si>
    <t>250040</t>
  </si>
  <si>
    <t>Murzuq</t>
  </si>
  <si>
    <t>murzuq</t>
  </si>
  <si>
    <t>2214603</t>
  </si>
  <si>
    <t>Musandam</t>
  </si>
  <si>
    <t>musandam</t>
  </si>
  <si>
    <t>411741</t>
  </si>
  <si>
    <t>Muscat</t>
  </si>
  <si>
    <t>muscat</t>
  </si>
  <si>
    <t>287286</t>
  </si>
  <si>
    <t>Muwaysa</t>
  </si>
  <si>
    <t>muwaysa</t>
  </si>
  <si>
    <t>166518</t>
  </si>
  <si>
    <t>mwees</t>
  </si>
  <si>
    <t>443904</t>
  </si>
  <si>
    <t>Mzab</t>
  </si>
  <si>
    <t>mzab</t>
  </si>
  <si>
    <t>2486601</t>
  </si>
  <si>
    <t>naameh</t>
  </si>
  <si>
    <t>7839998</t>
  </si>
  <si>
    <t>Nabaa al-Fa'our</t>
  </si>
  <si>
    <t>nabaa_el_faaour</t>
  </si>
  <si>
    <t>275263</t>
  </si>
  <si>
    <t>Nabeul</t>
  </si>
  <si>
    <t>nabeul</t>
  </si>
  <si>
    <t>2468579</t>
  </si>
  <si>
    <t>Nabk</t>
  </si>
  <si>
    <t>nabk</t>
  </si>
  <si>
    <t>173193</t>
  </si>
  <si>
    <t>Nablus</t>
  </si>
  <si>
    <t>nablus</t>
  </si>
  <si>
    <t>282615</t>
  </si>
  <si>
    <t>Najd</t>
  </si>
  <si>
    <t>najd</t>
  </si>
  <si>
    <t>103644</t>
  </si>
  <si>
    <t>Najran</t>
  </si>
  <si>
    <t>najran</t>
  </si>
  <si>
    <t>103630</t>
  </si>
  <si>
    <t>Nakhal Diqla</t>
  </si>
  <si>
    <t>nakhal_diqla</t>
  </si>
  <si>
    <t>345953</t>
  </si>
  <si>
    <t>Nasiriyyah</t>
  </si>
  <si>
    <t>nasiriyyah</t>
  </si>
  <si>
    <t>98854</t>
  </si>
  <si>
    <t>natl</t>
  </si>
  <si>
    <t>247726</t>
  </si>
  <si>
    <t>Nazareth</t>
  </si>
  <si>
    <t>nazareth</t>
  </si>
  <si>
    <t>294098</t>
  </si>
  <si>
    <t>Ndjamena</t>
  </si>
  <si>
    <t>ndjamena</t>
  </si>
  <si>
    <t>2427123</t>
  </si>
  <si>
    <t>nefza</t>
  </si>
  <si>
    <t>2473663</t>
  </si>
  <si>
    <t>Nefzaoua</t>
  </si>
  <si>
    <t>nefzaoua</t>
  </si>
  <si>
    <t>2468557</t>
  </si>
  <si>
    <t>Negev</t>
  </si>
  <si>
    <t>negev</t>
  </si>
  <si>
    <t>294886</t>
  </si>
  <si>
    <t>Nigeria</t>
  </si>
  <si>
    <t>nigeria</t>
  </si>
  <si>
    <t>2328926</t>
  </si>
  <si>
    <t>Nouakchott</t>
  </si>
  <si>
    <t>nouakchott</t>
  </si>
  <si>
    <t>2377450</t>
  </si>
  <si>
    <t>Nusaybin</t>
  </si>
  <si>
    <t>nusaybin</t>
  </si>
  <si>
    <t>8378519</t>
  </si>
  <si>
    <t>Nuwaybi'a</t>
  </si>
  <si>
    <t>nuwaybia</t>
  </si>
  <si>
    <t>350893</t>
  </si>
  <si>
    <t>Obock</t>
  </si>
  <si>
    <t>obock</t>
  </si>
  <si>
    <t>221527</t>
  </si>
  <si>
    <t>Oman</t>
  </si>
  <si>
    <t>oman</t>
  </si>
  <si>
    <t>286963</t>
  </si>
  <si>
    <t>Omdurman</t>
  </si>
  <si>
    <t>omdurman</t>
  </si>
  <si>
    <t>365137</t>
  </si>
  <si>
    <t>Oran</t>
  </si>
  <si>
    <t>oran</t>
  </si>
  <si>
    <t>2485926</t>
  </si>
  <si>
    <t>Ouaday</t>
  </si>
  <si>
    <t>ouaday</t>
  </si>
  <si>
    <t>2426573</t>
  </si>
  <si>
    <t>Ouazzane</t>
  </si>
  <si>
    <t>ouazzane</t>
  </si>
  <si>
    <t>2540810</t>
  </si>
  <si>
    <t>Oued Drâa</t>
  </si>
  <si>
    <t>oued_draa</t>
  </si>
  <si>
    <t>2551034</t>
  </si>
  <si>
    <t>Oujda</t>
  </si>
  <si>
    <t>oujda</t>
  </si>
  <si>
    <t>2540483</t>
  </si>
  <si>
    <t>Ourtzagh</t>
  </si>
  <si>
    <t>ourtzagh</t>
  </si>
  <si>
    <t>2538652</t>
  </si>
  <si>
    <t>Outat al-Haj</t>
  </si>
  <si>
    <t>outat_el_haj</t>
  </si>
  <si>
    <t>2538573</t>
  </si>
  <si>
    <t>palestine</t>
  </si>
  <si>
    <t>6254930</t>
  </si>
  <si>
    <t>Palmyra</t>
  </si>
  <si>
    <t>palmyra</t>
  </si>
  <si>
    <t>163808</t>
  </si>
  <si>
    <t>Peqiin</t>
  </si>
  <si>
    <t>peqiin</t>
  </si>
  <si>
    <t>295379</t>
  </si>
  <si>
    <t>Petra</t>
  </si>
  <si>
    <t>petra</t>
  </si>
  <si>
    <t>250745</t>
  </si>
  <si>
    <t>Port Said</t>
  </si>
  <si>
    <t>port_said</t>
  </si>
  <si>
    <t>358619</t>
  </si>
  <si>
    <t>al-Qahaba</t>
  </si>
  <si>
    <t>qahaba</t>
  </si>
  <si>
    <t>10972346</t>
  </si>
  <si>
    <t>qalamun</t>
  </si>
  <si>
    <t>166237</t>
  </si>
  <si>
    <t>Qal'at al-Husn</t>
  </si>
  <si>
    <t>qalat_al_husn</t>
  </si>
  <si>
    <t>10297545</t>
  </si>
  <si>
    <t>Qal'at al-Jindi</t>
  </si>
  <si>
    <t>qalat_al_jindi</t>
  </si>
  <si>
    <t>6412751</t>
  </si>
  <si>
    <t>Qamishli</t>
  </si>
  <si>
    <t>qamishli</t>
  </si>
  <si>
    <t>173377</t>
  </si>
  <si>
    <t>Qanawat</t>
  </si>
  <si>
    <t>qanawat</t>
  </si>
  <si>
    <t>166141</t>
  </si>
  <si>
    <t>Qashqadaryo</t>
  </si>
  <si>
    <t>qashqadaryo_region</t>
  </si>
  <si>
    <t>1114928</t>
  </si>
  <si>
    <t>Qusayr Amrah</t>
  </si>
  <si>
    <t>qasr_amrah</t>
  </si>
  <si>
    <t>247588</t>
  </si>
  <si>
    <t>Qasr Ibn Wardan</t>
  </si>
  <si>
    <t>qasr_ibn_wardan</t>
  </si>
  <si>
    <t>8340897</t>
  </si>
  <si>
    <t>qassim_region</t>
  </si>
  <si>
    <t>Qatar</t>
  </si>
  <si>
    <t>qatar</t>
  </si>
  <si>
    <t>289688</t>
  </si>
  <si>
    <t>al-Qawz</t>
  </si>
  <si>
    <t>qawz</t>
  </si>
  <si>
    <t xml:space="preserve"> 103044</t>
  </si>
  <si>
    <t>Qift</t>
  </si>
  <si>
    <t>qift</t>
  </si>
  <si>
    <t>350560</t>
  </si>
  <si>
    <t>Qismin</t>
  </si>
  <si>
    <t>qismin</t>
  </si>
  <si>
    <t>165986</t>
  </si>
  <si>
    <t>Qsarnaba</t>
  </si>
  <si>
    <t>qsarnaba</t>
  </si>
  <si>
    <t>269216</t>
  </si>
  <si>
    <t>Qutur</t>
  </si>
  <si>
    <t>qutur</t>
  </si>
  <si>
    <t>350376</t>
  </si>
  <si>
    <t>Rabat</t>
  </si>
  <si>
    <t>rabat</t>
  </si>
  <si>
    <t>2538475</t>
  </si>
  <si>
    <t>Rabia</t>
  </si>
  <si>
    <t>rabia</t>
  </si>
  <si>
    <t>383608</t>
  </si>
  <si>
    <t>Rada'</t>
  </si>
  <si>
    <t>rada</t>
  </si>
  <si>
    <t>71489</t>
  </si>
  <si>
    <t>Rafah</t>
  </si>
  <si>
    <t>rafah</t>
  </si>
  <si>
    <t>350350</t>
  </si>
  <si>
    <t>Rahat</t>
  </si>
  <si>
    <t>rahat</t>
  </si>
  <si>
    <t>8184212</t>
  </si>
  <si>
    <t>Rahayta</t>
  </si>
  <si>
    <t>raheita</t>
  </si>
  <si>
    <t>329665</t>
  </si>
  <si>
    <t>Ramallah</t>
  </si>
  <si>
    <t>ramallah</t>
  </si>
  <si>
    <t>282239</t>
  </si>
  <si>
    <t>Ramla</t>
  </si>
  <si>
    <t>ramla</t>
  </si>
  <si>
    <t>293768</t>
  </si>
  <si>
    <t>Ramlat Humayyir</t>
  </si>
  <si>
    <t>ramlat_humayyir</t>
  </si>
  <si>
    <t>355778</t>
  </si>
  <si>
    <t>Ras al-Ayn</t>
  </si>
  <si>
    <t>ras_al_ayn</t>
  </si>
  <si>
    <t>165509</t>
  </si>
  <si>
    <t>Ras al-Ma'arrah</t>
  </si>
  <si>
    <t>ras_al_maarra</t>
  </si>
  <si>
    <t>167614</t>
  </si>
  <si>
    <t>Ras Banas</t>
  </si>
  <si>
    <t>ras_banas</t>
  </si>
  <si>
    <t>359296</t>
  </si>
  <si>
    <t>Rashid</t>
  </si>
  <si>
    <t>rasid</t>
  </si>
  <si>
    <t>350203</t>
  </si>
  <si>
    <t>Rayak</t>
  </si>
  <si>
    <t>rayak</t>
  </si>
  <si>
    <t>268662</t>
  </si>
  <si>
    <t>Rayyan</t>
  </si>
  <si>
    <t>rayyan</t>
  </si>
  <si>
    <t>172939</t>
  </si>
  <si>
    <t>Rehamna</t>
  </si>
  <si>
    <t>rehamna</t>
  </si>
  <si>
    <t>2538316</t>
  </si>
  <si>
    <t>Reyhanli</t>
  </si>
  <si>
    <t>reyhanli</t>
  </si>
  <si>
    <t>302355</t>
  </si>
  <si>
    <t>Ghafsay</t>
  </si>
  <si>
    <t>rhafsay</t>
  </si>
  <si>
    <t>2548676</t>
  </si>
  <si>
    <t>Rijal Alma'</t>
  </si>
  <si>
    <t>rijal_alma</t>
  </si>
  <si>
    <t>10972267</t>
  </si>
  <si>
    <t>riyadh</t>
  </si>
  <si>
    <t>108410</t>
  </si>
  <si>
    <t>Ahad Rufaydah</t>
  </si>
  <si>
    <t>rufaydah</t>
  </si>
  <si>
    <t>10972260</t>
  </si>
  <si>
    <t>Rujm ash-Shami al-Gharbi</t>
  </si>
  <si>
    <t>rujm_ash_shami_al_gharbi</t>
  </si>
  <si>
    <t>247273</t>
  </si>
  <si>
    <t>Rumanah</t>
  </si>
  <si>
    <t>rumanah</t>
  </si>
  <si>
    <t>6413476</t>
  </si>
  <si>
    <t>Rumtha</t>
  </si>
  <si>
    <t>rumtha</t>
  </si>
  <si>
    <t>165537</t>
  </si>
  <si>
    <t>Ruzzāza</t>
  </si>
  <si>
    <t>ruzzaza</t>
  </si>
  <si>
    <t>11806092</t>
  </si>
  <si>
    <t>Sa'dah</t>
  </si>
  <si>
    <t>sa_dah</t>
  </si>
  <si>
    <t>71334</t>
  </si>
  <si>
    <t>Saadnayel</t>
  </si>
  <si>
    <t>saadnayel</t>
  </si>
  <si>
    <t>268495</t>
  </si>
  <si>
    <t>Sabt al-Alayah</t>
  </si>
  <si>
    <t>sabt_alalayah</t>
  </si>
  <si>
    <t>11670045</t>
  </si>
  <si>
    <t>Safed</t>
  </si>
  <si>
    <t>safed</t>
  </si>
  <si>
    <t>293100</t>
  </si>
  <si>
    <t>Safi</t>
  </si>
  <si>
    <t>safi</t>
  </si>
  <si>
    <t>2537881</t>
  </si>
  <si>
    <t>Safut</t>
  </si>
  <si>
    <t>safut</t>
  </si>
  <si>
    <t>247108</t>
  </si>
  <si>
    <t>Saida</t>
  </si>
  <si>
    <t>saida</t>
  </si>
  <si>
    <t>2482572</t>
  </si>
  <si>
    <t>Saint Catherine's Monastery</t>
  </si>
  <si>
    <t>saint_catherine_s_monastery</t>
  </si>
  <si>
    <t>350564</t>
  </si>
  <si>
    <t>Salamat</t>
  </si>
  <si>
    <t>salamat</t>
  </si>
  <si>
    <t>242028</t>
  </si>
  <si>
    <t>Sale</t>
  </si>
  <si>
    <t>sale</t>
  </si>
  <si>
    <t>2537763</t>
  </si>
  <si>
    <t>Sama as-Sirhan</t>
  </si>
  <si>
    <t>sama_as_sirhan</t>
  </si>
  <si>
    <t>247021</t>
  </si>
  <si>
    <t>Samandağ</t>
  </si>
  <si>
    <t>samandag</t>
  </si>
  <si>
    <t>9541203</t>
  </si>
  <si>
    <t>Sanaa</t>
  </si>
  <si>
    <t>sanaa</t>
  </si>
  <si>
    <t>71137</t>
  </si>
  <si>
    <t>Saoura</t>
  </si>
  <si>
    <t>saoura</t>
  </si>
  <si>
    <t>2482387</t>
  </si>
  <si>
    <t>Sason</t>
  </si>
  <si>
    <t>sason</t>
  </si>
  <si>
    <t>8630819</t>
  </si>
  <si>
    <t>saudi_arabia</t>
  </si>
  <si>
    <t>102358</t>
  </si>
  <si>
    <t>Sawakin</t>
  </si>
  <si>
    <t>sawakin</t>
  </si>
  <si>
    <t>367544</t>
  </si>
  <si>
    <t>Sednaya</t>
  </si>
  <si>
    <t>sednaya</t>
  </si>
  <si>
    <t>164717</t>
  </si>
  <si>
    <t>Sefrou</t>
  </si>
  <si>
    <t>sefrou</t>
  </si>
  <si>
    <t>2537545</t>
  </si>
  <si>
    <t>Hisban</t>
  </si>
  <si>
    <t>sel_hisban</t>
  </si>
  <si>
    <t>249092</t>
  </si>
  <si>
    <t>Senegal</t>
  </si>
  <si>
    <t>senegal</t>
  </si>
  <si>
    <t>2245662</t>
  </si>
  <si>
    <t>Settat</t>
  </si>
  <si>
    <t>settat</t>
  </si>
  <si>
    <t>2537406</t>
  </si>
  <si>
    <t>Sevilla</t>
  </si>
  <si>
    <t>sevilla</t>
  </si>
  <si>
    <t>Sfax</t>
  </si>
  <si>
    <t>sfax</t>
  </si>
  <si>
    <t>2467454</t>
  </si>
  <si>
    <t>shahaniya_reg</t>
  </si>
  <si>
    <t>289877</t>
  </si>
  <si>
    <t>Shahba</t>
  </si>
  <si>
    <t>shahba</t>
  </si>
  <si>
    <t>164626</t>
  </si>
  <si>
    <t>Shammar</t>
  </si>
  <si>
    <t>shammar</t>
  </si>
  <si>
    <t>Şanlıurfa</t>
  </si>
  <si>
    <t>shanliurfa</t>
  </si>
  <si>
    <t>298333</t>
  </si>
  <si>
    <t>Sharqiyya</t>
  </si>
  <si>
    <t>sharqiyya</t>
  </si>
  <si>
    <t>360016</t>
  </si>
  <si>
    <t>Cheikh Taba</t>
  </si>
  <si>
    <t>sheikh_taba</t>
  </si>
  <si>
    <t>278177</t>
  </si>
  <si>
    <t>shendi</t>
  </si>
  <si>
    <t>367308</t>
  </si>
  <si>
    <t>Shibli</t>
  </si>
  <si>
    <t>shibli</t>
  </si>
  <si>
    <t>386042</t>
  </si>
  <si>
    <t>Sicily</t>
  </si>
  <si>
    <t>sicily</t>
  </si>
  <si>
    <t>2523118</t>
  </si>
  <si>
    <t>Sidi Aïssa</t>
  </si>
  <si>
    <t>sidi_aissa</t>
  </si>
  <si>
    <t>2481246</t>
  </si>
  <si>
    <t>Sidi Bel Abbès</t>
  </si>
  <si>
    <t>sidi_bel_abbes</t>
  </si>
  <si>
    <t>2481007</t>
  </si>
  <si>
    <t>sidi_bouzid</t>
  </si>
  <si>
    <t>Sidon</t>
  </si>
  <si>
    <t>sidon</t>
  </si>
  <si>
    <t>268064</t>
  </si>
  <si>
    <t>Siirt</t>
  </si>
  <si>
    <t>siirt</t>
  </si>
  <si>
    <t>300822</t>
  </si>
  <si>
    <t>Silwad</t>
  </si>
  <si>
    <t>silwad</t>
  </si>
  <si>
    <t>281789</t>
  </si>
  <si>
    <t>Sinai</t>
  </si>
  <si>
    <t>sinai</t>
  </si>
  <si>
    <t>355182</t>
  </si>
  <si>
    <t>Sinbillawayn</t>
  </si>
  <si>
    <t>sinbillawayn</t>
  </si>
  <si>
    <t>359815</t>
  </si>
  <si>
    <t>Singapore</t>
  </si>
  <si>
    <t>singapore</t>
  </si>
  <si>
    <t>1880252</t>
  </si>
  <si>
    <t>Wadi Sirhan</t>
  </si>
  <si>
    <t>sirhan</t>
  </si>
  <si>
    <t>101887</t>
  </si>
  <si>
    <t>Sirwah</t>
  </si>
  <si>
    <t>sirwah</t>
  </si>
  <si>
    <t>6940839</t>
  </si>
  <si>
    <t>Siverek</t>
  </si>
  <si>
    <t>siverek</t>
  </si>
  <si>
    <t>300614</t>
  </si>
  <si>
    <t>Siwa</t>
  </si>
  <si>
    <t>siwa</t>
  </si>
  <si>
    <t>347863</t>
  </si>
  <si>
    <t>Skoura</t>
  </si>
  <si>
    <t>skoura</t>
  </si>
  <si>
    <t>6546688</t>
  </si>
  <si>
    <t>Smechin</t>
  </si>
  <si>
    <t>smecin</t>
  </si>
  <si>
    <t>164328</t>
  </si>
  <si>
    <t>Sohag</t>
  </si>
  <si>
    <t>sohag</t>
  </si>
  <si>
    <t>347796</t>
  </si>
  <si>
    <t>Soran</t>
  </si>
  <si>
    <t>soran</t>
  </si>
  <si>
    <t>163914</t>
  </si>
  <si>
    <t>Souss-Massa</t>
  </si>
  <si>
    <t>souss_massa</t>
  </si>
  <si>
    <t>2597554</t>
  </si>
  <si>
    <t>Sousse</t>
  </si>
  <si>
    <t>sousse</t>
  </si>
  <si>
    <t>2464915</t>
  </si>
  <si>
    <t>South Kordofan</t>
  </si>
  <si>
    <t>south_kordofan</t>
  </si>
  <si>
    <t>408661</t>
  </si>
  <si>
    <t>South Sudan</t>
  </si>
  <si>
    <t>south_sudan</t>
  </si>
  <si>
    <t>7909807</t>
  </si>
  <si>
    <t>spain</t>
  </si>
  <si>
    <t>2510769</t>
  </si>
  <si>
    <t>sudan</t>
  </si>
  <si>
    <t>366755</t>
  </si>
  <si>
    <t>Sudr</t>
  </si>
  <si>
    <t>sudr</t>
  </si>
  <si>
    <t>449808</t>
  </si>
  <si>
    <t>as-Sufayri</t>
  </si>
  <si>
    <t>sufayri</t>
  </si>
  <si>
    <t>108064</t>
  </si>
  <si>
    <t>Sulug</t>
  </si>
  <si>
    <t>sulug</t>
  </si>
  <si>
    <t>81603</t>
  </si>
  <si>
    <t>as-Summan</t>
  </si>
  <si>
    <t>summan</t>
  </si>
  <si>
    <t>Sur</t>
  </si>
  <si>
    <t>sur</t>
  </si>
  <si>
    <t>286245</t>
  </si>
  <si>
    <t>Sulam</t>
  </si>
  <si>
    <t>suulam</t>
  </si>
  <si>
    <t>293449</t>
  </si>
  <si>
    <t>Syria</t>
  </si>
  <si>
    <t>syria</t>
  </si>
  <si>
    <t>163843</t>
  </si>
  <si>
    <t>Taanayel</t>
  </si>
  <si>
    <t>taanayel</t>
  </si>
  <si>
    <t>266852</t>
  </si>
  <si>
    <t>Tadla</t>
  </si>
  <si>
    <t>tadla</t>
  </si>
  <si>
    <t>2532029</t>
  </si>
  <si>
    <t>Tafilalet</t>
  </si>
  <si>
    <t>tafilalet</t>
  </si>
  <si>
    <t>11281881</t>
  </si>
  <si>
    <t>Taizz</t>
  </si>
  <si>
    <t>taiz</t>
  </si>
  <si>
    <t>70225</t>
  </si>
  <si>
    <t>Takrouna</t>
  </si>
  <si>
    <t>takrouna</t>
  </si>
  <si>
    <t>2464802</t>
  </si>
  <si>
    <t>Tall Abyad</t>
  </si>
  <si>
    <t>tall_abyad</t>
  </si>
  <si>
    <t>163750</t>
  </si>
  <si>
    <t>Tall Znoub</t>
  </si>
  <si>
    <t>tall_dunub</t>
  </si>
  <si>
    <t>266885</t>
  </si>
  <si>
    <t>Tallet Qarmita</t>
  </si>
  <si>
    <t>tallet_qarmita</t>
  </si>
  <si>
    <t>269299</t>
  </si>
  <si>
    <t>Tan-Tan</t>
  </si>
  <si>
    <t>tan_tan</t>
  </si>
  <si>
    <t>2530241</t>
  </si>
  <si>
    <t>Tanger</t>
  </si>
  <si>
    <t>tanger</t>
  </si>
  <si>
    <t>2530335</t>
  </si>
  <si>
    <t>Tanuma</t>
  </si>
  <si>
    <t>tanuma</t>
  </si>
  <si>
    <t>101581</t>
  </si>
  <si>
    <t>Tarsus</t>
  </si>
  <si>
    <t>tarsus</t>
  </si>
  <si>
    <t>299817</t>
  </si>
  <si>
    <t>Tartous</t>
  </si>
  <si>
    <t>tartus</t>
  </si>
  <si>
    <t>163345</t>
  </si>
  <si>
    <t>Tataouine</t>
  </si>
  <si>
    <t>tataouine</t>
  </si>
  <si>
    <t>2464701</t>
  </si>
  <si>
    <t>Taza</t>
  </si>
  <si>
    <t>taza</t>
  </si>
  <si>
    <t>2529317</t>
  </si>
  <si>
    <t>Tel Aviv</t>
  </si>
  <si>
    <t>tel_aviv</t>
  </si>
  <si>
    <t>293397</t>
  </si>
  <si>
    <t>Tell ʔAlu</t>
  </si>
  <si>
    <t>tell_alu</t>
  </si>
  <si>
    <t>162875</t>
  </si>
  <si>
    <t>Tell Būrek</t>
  </si>
  <si>
    <t>tell_burek</t>
  </si>
  <si>
    <t>171437</t>
  </si>
  <si>
    <t>Temara</t>
  </si>
  <si>
    <t>temara</t>
  </si>
  <si>
    <t>2529013</t>
  </si>
  <si>
    <t>Ténès</t>
  </si>
  <si>
    <t>tenes</t>
  </si>
  <si>
    <t>2477148</t>
  </si>
  <si>
    <t>testour</t>
  </si>
  <si>
    <t>2464703</t>
  </si>
  <si>
    <t>Tétouan</t>
  </si>
  <si>
    <t>tetouan</t>
  </si>
  <si>
    <t>2528910</t>
  </si>
  <si>
    <t>Thessaloniki</t>
  </si>
  <si>
    <t>thessaloniki</t>
  </si>
  <si>
    <t>734077</t>
  </si>
  <si>
    <t>Tiberias</t>
  </si>
  <si>
    <t>tiberias</t>
  </si>
  <si>
    <t>293322</t>
  </si>
  <si>
    <t>Tihama</t>
  </si>
  <si>
    <t>tihama</t>
  </si>
  <si>
    <t>70009</t>
  </si>
  <si>
    <t>Tikrit</t>
  </si>
  <si>
    <t>tikrit</t>
  </si>
  <si>
    <t>90150</t>
  </si>
  <si>
    <t>Tillo</t>
  </si>
  <si>
    <t>tillo</t>
  </si>
  <si>
    <t>438519</t>
  </si>
  <si>
    <t>Tiznit</t>
  </si>
  <si>
    <t>tiznit</t>
  </si>
  <si>
    <t>2527089</t>
  </si>
  <si>
    <t>Tlemcen</t>
  </si>
  <si>
    <t>tlemcen</t>
  </si>
  <si>
    <t>2475687</t>
  </si>
  <si>
    <t>Toledo</t>
  </si>
  <si>
    <t>toledo</t>
  </si>
  <si>
    <t>2510409</t>
  </si>
  <si>
    <t>Tolga</t>
  </si>
  <si>
    <t>tolga</t>
  </si>
  <si>
    <t>2475612</t>
  </si>
  <si>
    <t>Tozeur</t>
  </si>
  <si>
    <t>tozeur</t>
  </si>
  <si>
    <t>2464648</t>
  </si>
  <si>
    <t>Tripoli</t>
  </si>
  <si>
    <t>tripoli_lebanon</t>
  </si>
  <si>
    <t>266826</t>
  </si>
  <si>
    <t>Tripolis</t>
  </si>
  <si>
    <t>tripoli_libya</t>
  </si>
  <si>
    <t>2210247</t>
  </si>
  <si>
    <t>Tripolitania</t>
  </si>
  <si>
    <t>tripolitania</t>
  </si>
  <si>
    <t>2210246</t>
  </si>
  <si>
    <t>Tuba Zangariyya</t>
  </si>
  <si>
    <t>tuba_zangariya</t>
  </si>
  <si>
    <t>293298</t>
  </si>
  <si>
    <t>Tulkarm</t>
  </si>
  <si>
    <t>tulkarm</t>
  </si>
  <si>
    <t>281577</t>
  </si>
  <si>
    <t>Tunis</t>
  </si>
  <si>
    <t>tunis</t>
  </si>
  <si>
    <t>2464470</t>
  </si>
  <si>
    <t>Tunisia</t>
  </si>
  <si>
    <t>tunisia</t>
  </si>
  <si>
    <t>2464461</t>
  </si>
  <si>
    <t>Turaif</t>
  </si>
  <si>
    <t>turaif</t>
  </si>
  <si>
    <t>101312</t>
  </si>
  <si>
    <t>turkey</t>
  </si>
  <si>
    <t>298795</t>
  </si>
  <si>
    <t>Twenan</t>
  </si>
  <si>
    <t>twenan</t>
  </si>
  <si>
    <t>171376</t>
  </si>
  <si>
    <t>Uganda</t>
  </si>
  <si>
    <t>uganda</t>
  </si>
  <si>
    <t>226074</t>
  </si>
  <si>
    <t>Umm al-Walid</t>
  </si>
  <si>
    <t>umm_al_walid</t>
  </si>
  <si>
    <t>246338</t>
  </si>
  <si>
    <t>Umm ar-Rasas</t>
  </si>
  <si>
    <t>umm_ar_rasas</t>
  </si>
  <si>
    <t>246330</t>
  </si>
  <si>
    <t>Umm al-Ghanam</t>
  </si>
  <si>
    <t>umm_el_ghanam</t>
  </si>
  <si>
    <t>293285</t>
  </si>
  <si>
    <t>United Arab Emirates</t>
  </si>
  <si>
    <t>united_arab_emirates</t>
  </si>
  <si>
    <t>290557</t>
  </si>
  <si>
    <t>Upper Egypt</t>
  </si>
  <si>
    <t>upper_egypt</t>
  </si>
  <si>
    <t>359888</t>
  </si>
  <si>
    <t>Uzbekistan</t>
  </si>
  <si>
    <t>uzbekistan</t>
  </si>
  <si>
    <t>1512440</t>
  </si>
  <si>
    <t>Valencia</t>
  </si>
  <si>
    <t>valencia</t>
  </si>
  <si>
    <t>2509954</t>
  </si>
  <si>
    <t>Wadi Abl</t>
  </si>
  <si>
    <t>wadi_abl</t>
  </si>
  <si>
    <t>109659</t>
  </si>
  <si>
    <t>Wadi al-Arish</t>
  </si>
  <si>
    <t>wadi_al_arish</t>
  </si>
  <si>
    <t>360180</t>
  </si>
  <si>
    <t>Wadi al-Islah</t>
  </si>
  <si>
    <t>wadi_al_islah</t>
  </si>
  <si>
    <t>355468</t>
  </si>
  <si>
    <t>Wadi al-Miyah</t>
  </si>
  <si>
    <t>wadi_al_miyah</t>
  </si>
  <si>
    <t>396569</t>
  </si>
  <si>
    <t>Wadi as-Sir</t>
  </si>
  <si>
    <t>wadi_as_sir</t>
  </si>
  <si>
    <t>246013</t>
  </si>
  <si>
    <t>Wadi Jiddī</t>
  </si>
  <si>
    <t>wadi_jiddi</t>
  </si>
  <si>
    <t>355063</t>
  </si>
  <si>
    <t>Wadi Khalid</t>
  </si>
  <si>
    <t>wadi_khalid</t>
  </si>
  <si>
    <t>272631</t>
  </si>
  <si>
    <t>Wadi Ramm</t>
  </si>
  <si>
    <t>wadi_ramm</t>
  </si>
  <si>
    <t>247397</t>
  </si>
  <si>
    <t>Wadi Sous</t>
  </si>
  <si>
    <t>wadi_sous</t>
  </si>
  <si>
    <t>2532385</t>
  </si>
  <si>
    <t>Wadi Sulāf</t>
  </si>
  <si>
    <t>wadi_sulaf</t>
  </si>
  <si>
    <t>347777</t>
  </si>
  <si>
    <t>Wahat Fayran</t>
  </si>
  <si>
    <t>wahat_fayran</t>
  </si>
  <si>
    <t>356870</t>
  </si>
  <si>
    <t>White Nile</t>
  </si>
  <si>
    <t>white_nile</t>
  </si>
  <si>
    <t>408653</t>
  </si>
  <si>
    <t>Xewkija</t>
  </si>
  <si>
    <t>xewkija</t>
  </si>
  <si>
    <t>8299760</t>
  </si>
  <si>
    <t>Ya'ara</t>
  </si>
  <si>
    <t>yaara</t>
  </si>
  <si>
    <t>293264</t>
  </si>
  <si>
    <t>Yāfiʕ</t>
  </si>
  <si>
    <t>yafa</t>
  </si>
  <si>
    <t>6940829</t>
  </si>
  <si>
    <t>Yangon</t>
  </si>
  <si>
    <t>yangon</t>
  </si>
  <si>
    <t>1298822</t>
  </si>
  <si>
    <t>Yarine</t>
  </si>
  <si>
    <t>yarine</t>
  </si>
  <si>
    <t>266113</t>
  </si>
  <si>
    <t>Yefren</t>
  </si>
  <si>
    <t>yefren</t>
  </si>
  <si>
    <t>2208791</t>
  </si>
  <si>
    <t>Yemen</t>
  </si>
  <si>
    <t>yemen</t>
  </si>
  <si>
    <t>69543</t>
  </si>
  <si>
    <t>Zaafrane</t>
  </si>
  <si>
    <t>zaafrane</t>
  </si>
  <si>
    <t>2464050</t>
  </si>
  <si>
    <t>Zabid</t>
  </si>
  <si>
    <t>zabid</t>
  </si>
  <si>
    <t>69500</t>
  </si>
  <si>
    <t>Zaer</t>
  </si>
  <si>
    <t>zaer</t>
  </si>
  <si>
    <t>2538470</t>
  </si>
  <si>
    <t>Zahlé</t>
  </si>
  <si>
    <t>zahle</t>
  </si>
  <si>
    <t>266045</t>
  </si>
  <si>
    <t>Zakariyya</t>
  </si>
  <si>
    <t>zakariiya</t>
  </si>
  <si>
    <t>293094</t>
  </si>
  <si>
    <t>Zaouia Akermoud</t>
  </si>
  <si>
    <t>zaouia_akermoud</t>
  </si>
  <si>
    <t>2526385</t>
  </si>
  <si>
    <t>Zeitoun</t>
  </si>
  <si>
    <t>zeitoun_keserwan</t>
  </si>
  <si>
    <t>265874</t>
  </si>
  <si>
    <t>Zgharta</t>
  </si>
  <si>
    <t>zgharta</t>
  </si>
  <si>
    <t>265845</t>
  </si>
  <si>
    <t>Zintan</t>
  </si>
  <si>
    <t>zintan</t>
  </si>
  <si>
    <t>2218963</t>
  </si>
  <si>
    <t>Zrarieh</t>
  </si>
  <si>
    <t>zrarieh</t>
  </si>
  <si>
    <t>277258</t>
  </si>
  <si>
    <t>Zyara</t>
  </si>
  <si>
    <t>zyara</t>
  </si>
  <si>
    <t>172027</t>
  </si>
  <si>
    <t>At Least</t>
  </si>
  <si>
    <t>At Most</t>
  </si>
  <si>
    <t>participants up to including 19 at the time of recording</t>
  </si>
  <si>
    <t>participants age 20 to (including) 29 at the time of recording</t>
  </si>
  <si>
    <t>participants age 30 to (including) 39 at the time of recording</t>
  </si>
  <si>
    <t>participants age 40 to (including) 49 at the time of recording</t>
  </si>
  <si>
    <t>participants age 50 to (including) 59 at the time of recording</t>
  </si>
  <si>
    <t>participants age 60 to (including) 69 at the time of recording</t>
  </si>
  <si>
    <t>70s+</t>
  </si>
  <si>
    <t>participants age 70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</si>
</sst>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8">
    <font>
      <sz val="11"/>
      <color theme="1"/>
      <name val="Calibri"/>
      <family val="2"/>
      <scheme val="minor"/>
    </font>
    <font>
      <sz val="11"/>
      <color theme="1"/>
      <name val="Calibri"/>
      <scheme val="minor"/>
    </font>
    <font>
      <sz val="11"/>
      <color theme="1"/>
      <name val="Calibri"/>
      <scheme val="minor"/>
    </font>
    <font>
      <sz val="10"/>
      <color theme="1"/>
      <name val="Calibri"/>
      <charset val="1"/>
    </font>
    <font>
      <b/>
      <sz val="11"/>
      <color theme="1"/>
      <name val="Calibri"/>
      <family val="2"/>
      <scheme val="minor"/>
    </font>
    <font>
      <b/>
      <sz val="11"/>
      <color theme="0"/>
      <name val="Calibri"/>
      <family val="2"/>
      <scheme val="minor"/>
    </font>
    <font>
      <sz val="11"/>
      <color rgb="FFAEAAAA"/>
      <name val="Calibri"/>
      <family val="2"/>
      <scheme val="minor"/>
    </font>
    <font>
      <sz val="10"/>
      <color theme="1"/>
      <name val="Calibri"/>
    </font>
    <font>
      <sz val="10"/>
      <color rgb="FFAEAAAA"/>
      <name val="Calibri"/>
    </font>
    <font>
      <sz val="10"/>
      <color theme="1"/>
      <name val="Calibri"/>
      <scheme val="minor"/>
    </font>
    <font>
      <u/>
      <sz val="11"/>
      <color theme="10"/>
      <name val="Calibri"/>
      <family val="2"/>
      <scheme val="minor"/>
    </font>
    <font>
      <sz val="10"/>
      <color theme="1"/>
      <name val="Calibri"/>
      <family val="2"/>
      <charset val="1"/>
    </font>
    <font>
      <sz val="10"/>
      <color theme="1"/>
      <name val="Calibri"/>
      <family val="2"/>
    </font>
    <font>
      <sz val="8"/>
      <name val="Calibri"/>
      <family val="2"/>
      <scheme val="minor"/>
    </font>
    <font>
      <b/>
      <sz val="10"/>
      <color rgb="FF000000"/>
      <name val="Calibri"/>
      <scheme val="minor"/>
    </font>
    <font>
      <sz val="11"/>
      <color rgb="FF000000"/>
      <name val="Calibri"/>
    </font>
    <font>
      <sz val="11"/>
      <color rgb="FF000000"/>
      <name val="Calibri"/>
      <charset val="1"/>
    </font>
    <font>
      <sz val="11"/>
      <color rgb="FF000000"/>
      <name val="Aptos Narrow"/>
      <charset val="1"/>
    </font>
    <font>
      <sz val="11"/>
      <color rgb="FF000000"/>
      <name val="Calibri"/>
      <family val="2"/>
    </font>
    <font>
      <sz val="10"/>
      <color rgb="FF000000"/>
      <name val="Calibri"/>
    </font>
    <font>
      <sz val="11"/>
      <color rgb="FF242424"/>
      <name val="Aptos Narrow"/>
      <charset val="1"/>
    </font>
    <font>
      <b/>
      <sz val="10"/>
      <color theme="1"/>
      <name val="Calibri"/>
    </font>
    <font>
      <b/>
      <sz val="10"/>
      <color rgb="FF000000"/>
      <name val="Calibri"/>
    </font>
    <font>
      <sz val="10"/>
      <color rgb="FF000000"/>
      <name val="Calibri"/>
      <family val="2"/>
    </font>
    <font>
      <sz val="10"/>
      <color rgb="FF000000"/>
      <name val="Calibri"/>
      <charset val="1"/>
    </font>
    <font>
      <b/>
      <sz val="10"/>
      <color rgb="FF000000"/>
      <name val="Calibri"/>
      <family val="2"/>
    </font>
    <font>
      <sz val="11"/>
      <color theme="1"/>
      <name val="Calibri"/>
      <charset val="1"/>
    </font>
    <font>
      <sz val="10"/>
      <color rgb="FFAEAAAA"/>
      <name val="Times New Roman"/>
    </font>
    <font>
      <sz val="10"/>
      <color rgb="FF000000"/>
      <name val="Calibri"/>
      <scheme val="minor"/>
    </font>
    <font>
      <sz val="10"/>
      <color rgb="FFAEAAAA"/>
      <name val="Calibri"/>
      <scheme val="minor"/>
    </font>
    <font>
      <sz val="10"/>
      <color rgb="FF000000"/>
      <name val="Calibri"/>
      <family val="2"/>
      <charset val="1"/>
    </font>
    <font>
      <sz val="11"/>
      <color rgb="FFFF0000"/>
      <name val="Calibri"/>
      <charset val="1"/>
    </font>
    <font>
      <sz val="10"/>
      <color theme="1"/>
      <name val="Calibri"/>
      <family val="2"/>
      <scheme val="minor"/>
    </font>
    <font>
      <sz val="10"/>
      <color theme="1"/>
      <name val="Liberation Sans"/>
      <charset val="1"/>
    </font>
    <font>
      <sz val="11"/>
      <color rgb="FFFF0000"/>
      <name val="Calibri"/>
      <scheme val="minor"/>
    </font>
    <font>
      <sz val="11"/>
      <color rgb="FFFF0000"/>
      <name val="Calibri"/>
      <family val="2"/>
      <scheme val="minor"/>
    </font>
    <font>
      <sz val="11"/>
      <color rgb="FFFF0000"/>
      <name val="Calibri"/>
      <family val="2"/>
    </font>
    <font>
      <sz val="11"/>
      <color rgb="FF000000"/>
      <name val="Calibri"/>
      <family val="2"/>
      <scheme val="minor"/>
    </font>
  </fonts>
  <fills count="20">
    <fill>
      <patternFill patternType="none"/>
    </fill>
    <fill>
      <patternFill patternType="gray125"/>
    </fill>
    <fill>
      <patternFill patternType="solid">
        <fgColor theme="9"/>
        <bgColor theme="9"/>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C9C9C9"/>
        <bgColor rgb="FF000000"/>
      </patternFill>
    </fill>
    <fill>
      <patternFill patternType="solid">
        <fgColor theme="9" tint="0.59999389629810485"/>
        <bgColor indexed="64"/>
      </patternFill>
    </fill>
    <fill>
      <patternFill patternType="solid">
        <fgColor rgb="FFFFF2CC"/>
        <bgColor rgb="FF000000"/>
      </patternFill>
    </fill>
    <fill>
      <patternFill patternType="solid">
        <fgColor rgb="FFB4C6E7"/>
        <bgColor rgb="FFB4C6E7"/>
      </patternFill>
    </fill>
    <fill>
      <patternFill patternType="solid">
        <fgColor rgb="FFD9E1F2"/>
        <bgColor rgb="FFD9E1F2"/>
      </patternFill>
    </fill>
    <fill>
      <patternFill patternType="solid">
        <fgColor rgb="FFEDEDED"/>
        <bgColor rgb="FFEDEDED"/>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FFFFFF"/>
        <bgColor rgb="FF000000"/>
      </patternFill>
    </fill>
    <fill>
      <patternFill patternType="solid">
        <fgColor rgb="FFFFFF00"/>
        <bgColor rgb="FFFFFF00"/>
      </patternFill>
    </fill>
    <fill>
      <patternFill patternType="solid">
        <fgColor rgb="FFFCE4D6"/>
        <bgColor rgb="FFFFF2CC"/>
      </patternFill>
    </fill>
    <fill>
      <patternFill patternType="solid">
        <fgColor rgb="FFFFF2CC"/>
        <bgColor rgb="FFFBE5D6"/>
      </patternFill>
    </fill>
    <fill>
      <patternFill patternType="solid">
        <fgColor rgb="FFFFFF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theme="9"/>
      </top>
      <bottom/>
      <diagonal/>
    </border>
    <border>
      <left style="thin">
        <color rgb="FF000000"/>
      </left>
      <right style="thin">
        <color rgb="FF000000"/>
      </right>
      <top/>
      <bottom/>
      <diagonal/>
    </border>
    <border>
      <left/>
      <right/>
      <top style="thin">
        <color rgb="FF000000"/>
      </top>
      <bottom/>
      <diagonal/>
    </border>
    <border>
      <left/>
      <right/>
      <top style="thin">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70AD47"/>
      </left>
      <right/>
      <top style="thin">
        <color rgb="FF70AD47"/>
      </top>
      <bottom/>
      <diagonal/>
    </border>
    <border>
      <left style="thin">
        <color rgb="FF70AD47"/>
      </left>
      <right/>
      <top style="thin">
        <color rgb="FF70AD47"/>
      </top>
      <bottom style="thin">
        <color rgb="FFC9C9C9"/>
      </bottom>
      <diagonal/>
    </border>
    <border>
      <left style="thin">
        <color rgb="FF000000"/>
      </left>
      <right style="thin">
        <color rgb="FF000000"/>
      </right>
      <top style="thin">
        <color rgb="FF000000"/>
      </top>
      <bottom style="thin">
        <color rgb="FFA5A5A5"/>
      </bottom>
      <diagonal/>
    </border>
    <border>
      <left/>
      <right style="thin">
        <color theme="6"/>
      </right>
      <top style="thin">
        <color theme="6"/>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000000"/>
      </left>
      <right style="thin">
        <color rgb="FF000000"/>
      </right>
      <top style="thin">
        <color rgb="FFCCCCCC"/>
      </top>
      <bottom style="thin">
        <color rgb="FFCCCCCC"/>
      </bottom>
      <diagonal/>
    </border>
    <border>
      <left style="thin">
        <color rgb="FF000000"/>
      </left>
      <right/>
      <top style="thin">
        <color rgb="FF4472C4"/>
      </top>
      <bottom/>
      <diagonal/>
    </border>
    <border>
      <left/>
      <right style="thin">
        <color rgb="FF70AD47"/>
      </right>
      <top style="thin">
        <color rgb="FF70AD47"/>
      </top>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0" fillId="0" borderId="0" applyNumberFormat="0" applyFill="0" applyBorder="0" applyAlignment="0" applyProtection="0"/>
  </cellStyleXfs>
  <cellXfs count="190">
    <xf numFmtId="0" fontId="0" fillId="0" borderId="0" xfId="0"/>
    <xf numFmtId="0" fontId="3" fillId="0" borderId="2" xfId="0" applyFont="1" applyBorder="1" applyAlignment="1">
      <alignment vertical="top" readingOrder="1"/>
    </xf>
    <xf numFmtId="0" fontId="3" fillId="0" borderId="3" xfId="0" applyFont="1" applyBorder="1" applyAlignment="1">
      <alignment vertical="top" readingOrder="1"/>
    </xf>
    <xf numFmtId="164" fontId="3" fillId="0" borderId="3" xfId="0" applyNumberFormat="1" applyFont="1" applyBorder="1" applyAlignment="1">
      <alignment vertical="top" readingOrder="1"/>
    </xf>
    <xf numFmtId="0" fontId="3" fillId="0" borderId="3" xfId="0" applyFont="1" applyBorder="1" applyAlignment="1">
      <alignment vertical="top" wrapText="1" readingOrder="1"/>
    </xf>
    <xf numFmtId="0" fontId="0" fillId="0" borderId="0" xfId="0" applyAlignment="1">
      <alignment vertical="top"/>
    </xf>
    <xf numFmtId="0" fontId="3" fillId="0" borderId="4" xfId="0" applyFont="1" applyBorder="1" applyAlignment="1">
      <alignment vertical="top" readingOrder="1"/>
    </xf>
    <xf numFmtId="164" fontId="0" fillId="0" borderId="0" xfId="0" applyNumberFormat="1" applyAlignment="1">
      <alignment vertical="top"/>
    </xf>
    <xf numFmtId="0" fontId="0" fillId="0" borderId="0" xfId="0" applyAlignment="1">
      <alignment vertical="top" wrapText="1"/>
    </xf>
    <xf numFmtId="0" fontId="6" fillId="0" borderId="0" xfId="0" applyFont="1"/>
    <xf numFmtId="0" fontId="0" fillId="0" borderId="5" xfId="0" applyBorder="1"/>
    <xf numFmtId="0" fontId="5" fillId="2" borderId="0" xfId="0" applyFont="1" applyFill="1"/>
    <xf numFmtId="0" fontId="4" fillId="0" borderId="0" xfId="0" applyFont="1"/>
    <xf numFmtId="49" fontId="3" fillId="0" borderId="3" xfId="0" applyNumberFormat="1" applyFont="1" applyBorder="1" applyAlignment="1">
      <alignment vertical="top" readingOrder="1"/>
    </xf>
    <xf numFmtId="49" fontId="0" fillId="0" borderId="0" xfId="0" applyNumberFormat="1" applyAlignment="1">
      <alignment vertical="top"/>
    </xf>
    <xf numFmtId="0" fontId="7" fillId="0" borderId="3" xfId="0" applyFont="1" applyBorder="1" applyAlignment="1">
      <alignment vertical="top" readingOrder="1"/>
    </xf>
    <xf numFmtId="0" fontId="11" fillId="0" borderId="2" xfId="0" applyFont="1" applyBorder="1" applyAlignment="1">
      <alignment vertical="top" readingOrder="1"/>
    </xf>
    <xf numFmtId="0" fontId="8" fillId="0" borderId="4" xfId="0" applyFont="1" applyBorder="1" applyAlignment="1">
      <alignment vertical="top" readingOrder="1"/>
    </xf>
    <xf numFmtId="164" fontId="7" fillId="3" borderId="1" xfId="0" applyNumberFormat="1" applyFont="1" applyFill="1" applyBorder="1" applyAlignment="1">
      <alignment vertical="top" readingOrder="1"/>
    </xf>
    <xf numFmtId="49" fontId="7" fillId="3" borderId="1" xfId="0" applyNumberFormat="1" applyFont="1" applyFill="1" applyBorder="1" applyAlignment="1">
      <alignment vertical="top" readingOrder="1"/>
    </xf>
    <xf numFmtId="0" fontId="7" fillId="4" borderId="1" xfId="0" applyFont="1" applyFill="1" applyBorder="1" applyAlignment="1">
      <alignment vertical="top" readingOrder="1"/>
    </xf>
    <xf numFmtId="0" fontId="3" fillId="4" borderId="1" xfId="0" applyFont="1" applyFill="1" applyBorder="1" applyAlignment="1">
      <alignment vertical="top" readingOrder="1"/>
    </xf>
    <xf numFmtId="0" fontId="7" fillId="3" borderId="6" xfId="0" applyFont="1" applyFill="1" applyBorder="1" applyAlignment="1">
      <alignment vertical="top" readingOrder="1"/>
    </xf>
    <xf numFmtId="0" fontId="7" fillId="3" borderId="4" xfId="0" applyFont="1" applyFill="1" applyBorder="1" applyAlignment="1">
      <alignment vertical="top" readingOrder="1"/>
    </xf>
    <xf numFmtId="0" fontId="9" fillId="3" borderId="1" xfId="0" applyFont="1" applyFill="1" applyBorder="1" applyAlignment="1">
      <alignment vertical="top" wrapText="1" readingOrder="1"/>
    </xf>
    <xf numFmtId="49" fontId="11" fillId="0" borderId="3" xfId="0" applyNumberFormat="1" applyFont="1" applyBorder="1" applyAlignment="1">
      <alignment vertical="top" readingOrder="1"/>
    </xf>
    <xf numFmtId="0" fontId="7" fillId="0" borderId="4" xfId="0" applyFont="1" applyBorder="1" applyAlignment="1">
      <alignment vertical="top" readingOrder="1"/>
    </xf>
    <xf numFmtId="0" fontId="7" fillId="3" borderId="7" xfId="0" applyFont="1" applyFill="1" applyBorder="1" applyAlignment="1">
      <alignment vertical="top" readingOrder="1"/>
    </xf>
    <xf numFmtId="0" fontId="12" fillId="4" borderId="4" xfId="0" applyFont="1" applyFill="1" applyBorder="1" applyAlignment="1">
      <alignment vertical="top" readingOrder="1"/>
    </xf>
    <xf numFmtId="164" fontId="7" fillId="3" borderId="4" xfId="0" applyNumberFormat="1" applyFont="1" applyFill="1" applyBorder="1" applyAlignment="1">
      <alignment vertical="top" readingOrder="1"/>
    </xf>
    <xf numFmtId="49" fontId="7" fillId="3" borderId="4" xfId="0" applyNumberFormat="1" applyFont="1" applyFill="1" applyBorder="1" applyAlignment="1">
      <alignment vertical="top" readingOrder="1"/>
    </xf>
    <xf numFmtId="49" fontId="7" fillId="4" borderId="4" xfId="0" applyNumberFormat="1" applyFont="1" applyFill="1" applyBorder="1" applyAlignment="1">
      <alignment vertical="top" readingOrder="1"/>
    </xf>
    <xf numFmtId="0" fontId="7" fillId="4" borderId="4" xfId="0" applyFont="1" applyFill="1" applyBorder="1" applyAlignment="1">
      <alignment vertical="top" readingOrder="1"/>
    </xf>
    <xf numFmtId="0" fontId="3" fillId="4" borderId="4" xfId="0" applyFont="1" applyFill="1" applyBorder="1" applyAlignment="1">
      <alignment vertical="top" readingOrder="1"/>
    </xf>
    <xf numFmtId="0" fontId="9" fillId="3" borderId="4" xfId="0" applyFont="1" applyFill="1" applyBorder="1" applyAlignment="1">
      <alignment vertical="top" wrapText="1" readingOrder="1"/>
    </xf>
    <xf numFmtId="0" fontId="7" fillId="3" borderId="8" xfId="0" applyFont="1" applyFill="1" applyBorder="1" applyAlignment="1">
      <alignment vertical="top" readingOrder="1"/>
    </xf>
    <xf numFmtId="0" fontId="12" fillId="4" borderId="6" xfId="0" applyFont="1" applyFill="1" applyBorder="1" applyAlignment="1">
      <alignment vertical="top" readingOrder="1"/>
    </xf>
    <xf numFmtId="0" fontId="8" fillId="0" borderId="6" xfId="0" applyFont="1" applyBorder="1" applyAlignment="1">
      <alignment vertical="top" readingOrder="1"/>
    </xf>
    <xf numFmtId="164" fontId="7" fillId="3" borderId="6" xfId="0" applyNumberFormat="1" applyFont="1" applyFill="1" applyBorder="1" applyAlignment="1">
      <alignment vertical="top" readingOrder="1"/>
    </xf>
    <xf numFmtId="49" fontId="7" fillId="4" borderId="6" xfId="0" applyNumberFormat="1" applyFont="1" applyFill="1" applyBorder="1" applyAlignment="1">
      <alignment vertical="top" readingOrder="1"/>
    </xf>
    <xf numFmtId="0" fontId="7" fillId="4" borderId="3" xfId="0" applyFont="1" applyFill="1" applyBorder="1" applyAlignment="1">
      <alignment vertical="top" readingOrder="1"/>
    </xf>
    <xf numFmtId="0" fontId="3" fillId="4" borderId="3" xfId="0" applyFont="1" applyFill="1" applyBorder="1" applyAlignment="1">
      <alignment vertical="top" readingOrder="1"/>
    </xf>
    <xf numFmtId="0" fontId="3" fillId="4" borderId="6" xfId="0" applyFont="1" applyFill="1" applyBorder="1" applyAlignment="1">
      <alignment vertical="top" readingOrder="1"/>
    </xf>
    <xf numFmtId="0" fontId="7" fillId="4" borderId="6" xfId="0" applyFont="1" applyFill="1" applyBorder="1" applyAlignment="1">
      <alignment vertical="top" readingOrder="1"/>
    </xf>
    <xf numFmtId="0" fontId="9" fillId="3" borderId="6" xfId="0" applyFont="1" applyFill="1" applyBorder="1" applyAlignment="1">
      <alignment vertical="top" wrapText="1" readingOrder="1"/>
    </xf>
    <xf numFmtId="0" fontId="12" fillId="4" borderId="1" xfId="0" applyFont="1" applyFill="1" applyBorder="1" applyAlignment="1">
      <alignment vertical="top" readingOrder="1"/>
    </xf>
    <xf numFmtId="0" fontId="7" fillId="3" borderId="9" xfId="0" applyFont="1" applyFill="1" applyBorder="1" applyAlignment="1">
      <alignment vertical="top" readingOrder="1"/>
    </xf>
    <xf numFmtId="0" fontId="12" fillId="4" borderId="10" xfId="0" applyFont="1" applyFill="1" applyBorder="1" applyAlignment="1">
      <alignment vertical="top" readingOrder="1"/>
    </xf>
    <xf numFmtId="164" fontId="7" fillId="3" borderId="10" xfId="0" applyNumberFormat="1" applyFont="1" applyFill="1" applyBorder="1" applyAlignment="1">
      <alignment vertical="top" readingOrder="1"/>
    </xf>
    <xf numFmtId="49" fontId="7" fillId="3" borderId="10" xfId="0" applyNumberFormat="1" applyFont="1" applyFill="1" applyBorder="1" applyAlignment="1">
      <alignment vertical="top" readingOrder="1"/>
    </xf>
    <xf numFmtId="49" fontId="7" fillId="4" borderId="10" xfId="0" applyNumberFormat="1" applyFont="1" applyFill="1" applyBorder="1" applyAlignment="1">
      <alignment vertical="top" readingOrder="1"/>
    </xf>
    <xf numFmtId="0" fontId="7" fillId="4" borderId="10" xfId="0" applyFont="1" applyFill="1" applyBorder="1" applyAlignment="1">
      <alignment vertical="top" readingOrder="1"/>
    </xf>
    <xf numFmtId="0" fontId="3" fillId="4" borderId="10" xfId="0" applyFont="1" applyFill="1" applyBorder="1" applyAlignment="1">
      <alignment vertical="top" readingOrder="1"/>
    </xf>
    <xf numFmtId="0" fontId="7" fillId="3" borderId="10" xfId="0" applyFont="1" applyFill="1" applyBorder="1" applyAlignment="1">
      <alignment vertical="top" readingOrder="1"/>
    </xf>
    <xf numFmtId="0" fontId="14" fillId="3" borderId="10" xfId="0" applyFont="1" applyFill="1" applyBorder="1" applyAlignment="1">
      <alignment vertical="top" wrapText="1" readingOrder="1"/>
    </xf>
    <xf numFmtId="0" fontId="0" fillId="0" borderId="11" xfId="0" applyBorder="1" applyAlignment="1">
      <alignment vertical="top"/>
    </xf>
    <xf numFmtId="0" fontId="7" fillId="3" borderId="12" xfId="0" applyFont="1" applyFill="1" applyBorder="1" applyAlignment="1">
      <alignment vertical="top" readingOrder="1"/>
    </xf>
    <xf numFmtId="0" fontId="12" fillId="4" borderId="3" xfId="0" applyFont="1" applyFill="1" applyBorder="1" applyAlignment="1">
      <alignment vertical="top" readingOrder="1"/>
    </xf>
    <xf numFmtId="164" fontId="7" fillId="3" borderId="3" xfId="0" applyNumberFormat="1" applyFont="1" applyFill="1" applyBorder="1" applyAlignment="1">
      <alignment vertical="top" readingOrder="1"/>
    </xf>
    <xf numFmtId="49" fontId="7" fillId="4" borderId="3" xfId="0" applyNumberFormat="1" applyFont="1" applyFill="1" applyBorder="1" applyAlignment="1">
      <alignment vertical="top" readingOrder="1"/>
    </xf>
    <xf numFmtId="0" fontId="0" fillId="0" borderId="0" xfId="0" applyAlignment="1">
      <alignment horizontal="right"/>
    </xf>
    <xf numFmtId="49" fontId="7" fillId="4" borderId="1" xfId="0" applyNumberFormat="1" applyFont="1" applyFill="1" applyBorder="1" applyAlignment="1">
      <alignment vertical="top" readingOrder="1"/>
    </xf>
    <xf numFmtId="0" fontId="15" fillId="6" borderId="13" xfId="0" applyFont="1" applyFill="1" applyBorder="1"/>
    <xf numFmtId="0" fontId="0" fillId="7" borderId="0" xfId="0" applyFill="1"/>
    <xf numFmtId="0" fontId="16" fillId="0" borderId="0" xfId="0" applyFont="1"/>
    <xf numFmtId="0" fontId="5" fillId="2" borderId="14" xfId="0" applyFont="1" applyFill="1" applyBorder="1"/>
    <xf numFmtId="0" fontId="5" fillId="2" borderId="15" xfId="0" applyFon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15" fillId="6" borderId="5" xfId="0" applyFont="1" applyFill="1" applyBorder="1"/>
    <xf numFmtId="0" fontId="17" fillId="0" borderId="0" xfId="0" applyFont="1"/>
    <xf numFmtId="0" fontId="0" fillId="5" borderId="18" xfId="0" applyFill="1" applyBorder="1" applyAlignment="1">
      <alignment vertical="top" readingOrder="1"/>
    </xf>
    <xf numFmtId="0" fontId="0" fillId="5" borderId="5" xfId="0" applyFill="1" applyBorder="1" applyAlignment="1">
      <alignment vertical="top" readingOrder="1"/>
    </xf>
    <xf numFmtId="0" fontId="7" fillId="0" borderId="11" xfId="0" applyFont="1" applyBorder="1" applyAlignment="1">
      <alignment vertical="top" readingOrder="1"/>
    </xf>
    <xf numFmtId="0" fontId="7" fillId="0" borderId="0" xfId="0" applyFont="1" applyAlignment="1">
      <alignment vertical="top" readingOrder="1"/>
    </xf>
    <xf numFmtId="0" fontId="18" fillId="0" borderId="0" xfId="0" applyFont="1"/>
    <xf numFmtId="0" fontId="9" fillId="3" borderId="7" xfId="0" applyFont="1" applyFill="1" applyBorder="1" applyAlignment="1">
      <alignment vertical="top" readingOrder="1"/>
    </xf>
    <xf numFmtId="0" fontId="19" fillId="3" borderId="8" xfId="0" applyFont="1" applyFill="1" applyBorder="1" applyAlignment="1">
      <alignment vertical="top" readingOrder="1"/>
    </xf>
    <xf numFmtId="0" fontId="20" fillId="0" borderId="0" xfId="0" applyFont="1"/>
    <xf numFmtId="0" fontId="21" fillId="3" borderId="7" xfId="0" applyFont="1" applyFill="1" applyBorder="1" applyAlignment="1">
      <alignment vertical="top" readingOrder="1"/>
    </xf>
    <xf numFmtId="0" fontId="21" fillId="3" borderId="8" xfId="0" applyFont="1" applyFill="1" applyBorder="1" applyAlignment="1">
      <alignment vertical="top" readingOrder="1"/>
    </xf>
    <xf numFmtId="0" fontId="22" fillId="3" borderId="8" xfId="0" applyFont="1" applyFill="1" applyBorder="1" applyAlignment="1">
      <alignment vertical="top" readingOrder="1"/>
    </xf>
    <xf numFmtId="0" fontId="23" fillId="8" borderId="18" xfId="0" applyFont="1" applyFill="1" applyBorder="1" applyAlignment="1">
      <alignment readingOrder="1"/>
    </xf>
    <xf numFmtId="0" fontId="23" fillId="8" borderId="7" xfId="0" applyFont="1" applyFill="1" applyBorder="1" applyAlignment="1">
      <alignment readingOrder="1"/>
    </xf>
    <xf numFmtId="0" fontId="23" fillId="8" borderId="19" xfId="0" applyFont="1" applyFill="1" applyBorder="1" applyAlignment="1">
      <alignment readingOrder="1"/>
    </xf>
    <xf numFmtId="0" fontId="18" fillId="9" borderId="20" xfId="0" applyFont="1" applyFill="1" applyBorder="1"/>
    <xf numFmtId="0" fontId="18" fillId="10" borderId="20" xfId="0" applyFont="1" applyFill="1" applyBorder="1"/>
    <xf numFmtId="0" fontId="18" fillId="9" borderId="21" xfId="0" applyFont="1" applyFill="1" applyBorder="1"/>
    <xf numFmtId="0" fontId="18" fillId="10" borderId="21" xfId="0" applyFont="1" applyFill="1" applyBorder="1"/>
    <xf numFmtId="0" fontId="18" fillId="0" borderId="22" xfId="0" applyFont="1" applyBorder="1"/>
    <xf numFmtId="0" fontId="18" fillId="11" borderId="23" xfId="0" applyFont="1" applyFill="1" applyBorder="1"/>
    <xf numFmtId="0" fontId="18" fillId="0" borderId="23" xfId="0" applyFont="1" applyBorder="1"/>
    <xf numFmtId="0" fontId="23" fillId="0" borderId="24" xfId="0" applyFont="1" applyBorder="1" applyAlignment="1">
      <alignment readingOrder="1"/>
    </xf>
    <xf numFmtId="0" fontId="7" fillId="0" borderId="1" xfId="0" applyFont="1" applyBorder="1" applyAlignment="1">
      <alignment vertical="top" readingOrder="1"/>
    </xf>
    <xf numFmtId="0" fontId="7" fillId="3" borderId="0" xfId="0" applyFont="1" applyFill="1" applyAlignment="1">
      <alignment vertical="top" readingOrder="1"/>
    </xf>
    <xf numFmtId="0" fontId="14" fillId="3" borderId="0" xfId="0" applyFont="1" applyFill="1"/>
    <xf numFmtId="0" fontId="23" fillId="8" borderId="0" xfId="0" applyFont="1" applyFill="1" applyAlignment="1">
      <alignment readingOrder="1"/>
    </xf>
    <xf numFmtId="164" fontId="24" fillId="3" borderId="0" xfId="0" applyNumberFormat="1" applyFont="1" applyFill="1"/>
    <xf numFmtId="0" fontId="12" fillId="0" borderId="4" xfId="0" applyFont="1" applyBorder="1" applyAlignment="1">
      <alignment vertical="top" readingOrder="1"/>
    </xf>
    <xf numFmtId="0" fontId="0" fillId="0" borderId="25" xfId="0" applyBorder="1"/>
    <xf numFmtId="0" fontId="22" fillId="3" borderId="8" xfId="0" applyFont="1" applyFill="1" applyBorder="1" applyAlignment="1">
      <alignment vertical="top" wrapText="1" readingOrder="1"/>
    </xf>
    <xf numFmtId="0" fontId="19" fillId="3" borderId="8" xfId="0" applyFont="1" applyFill="1" applyBorder="1" applyAlignment="1">
      <alignment vertical="top" wrapText="1" readingOrder="1"/>
    </xf>
    <xf numFmtId="0" fontId="7" fillId="3" borderId="7" xfId="0" applyFont="1" applyFill="1" applyBorder="1" applyAlignment="1">
      <alignment vertical="top" wrapText="1" readingOrder="1"/>
    </xf>
    <xf numFmtId="0" fontId="0" fillId="0" borderId="0" xfId="0" applyAlignment="1">
      <alignment wrapText="1"/>
    </xf>
    <xf numFmtId="0" fontId="18" fillId="9" borderId="0" xfId="0" applyFont="1" applyFill="1"/>
    <xf numFmtId="0" fontId="18" fillId="10" borderId="0" xfId="0" applyFont="1" applyFill="1"/>
    <xf numFmtId="0" fontId="0" fillId="12" borderId="0" xfId="0" applyFill="1"/>
    <xf numFmtId="0" fontId="25" fillId="8" borderId="18" xfId="0" applyFont="1" applyFill="1" applyBorder="1" applyAlignment="1">
      <alignment readingOrder="1"/>
    </xf>
    <xf numFmtId="0" fontId="25" fillId="8" borderId="19" xfId="0" applyFont="1" applyFill="1" applyBorder="1" applyAlignment="1">
      <alignment readingOrder="1"/>
    </xf>
    <xf numFmtId="0" fontId="18" fillId="9" borderId="28" xfId="0" applyFont="1" applyFill="1" applyBorder="1"/>
    <xf numFmtId="0" fontId="0" fillId="13" borderId="29" xfId="0" applyFill="1" applyBorder="1"/>
    <xf numFmtId="0" fontId="18" fillId="9" borderId="29" xfId="0" applyFont="1" applyFill="1" applyBorder="1"/>
    <xf numFmtId="0" fontId="6" fillId="13" borderId="29" xfId="0" applyFont="1" applyFill="1" applyBorder="1"/>
    <xf numFmtId="0" fontId="26" fillId="0" borderId="26" xfId="0" applyFont="1" applyBorder="1" applyAlignment="1">
      <alignment readingOrder="1"/>
    </xf>
    <xf numFmtId="0" fontId="26" fillId="0" borderId="30" xfId="0" applyFont="1" applyBorder="1" applyAlignment="1">
      <alignment readingOrder="1"/>
    </xf>
    <xf numFmtId="0" fontId="26" fillId="0" borderId="26" xfId="0" applyFont="1" applyBorder="1" applyAlignment="1">
      <alignment wrapText="1" readingOrder="1"/>
    </xf>
    <xf numFmtId="0" fontId="26" fillId="0" borderId="30" xfId="0" applyFont="1" applyBorder="1" applyAlignment="1">
      <alignment wrapText="1" readingOrder="1"/>
    </xf>
    <xf numFmtId="0" fontId="26" fillId="0" borderId="27" xfId="0" applyFont="1" applyBorder="1" applyAlignment="1">
      <alignment wrapText="1" readingOrder="1"/>
    </xf>
    <xf numFmtId="0" fontId="26" fillId="0" borderId="27" xfId="0" applyFont="1" applyBorder="1" applyAlignment="1">
      <alignment readingOrder="1"/>
    </xf>
    <xf numFmtId="0" fontId="27" fillId="0" borderId="4" xfId="0" applyFont="1" applyBorder="1" applyAlignment="1">
      <alignment vertical="top" readingOrder="1"/>
    </xf>
    <xf numFmtId="0" fontId="28" fillId="3" borderId="0" xfId="0" applyFont="1" applyFill="1"/>
    <xf numFmtId="0" fontId="9" fillId="4" borderId="1" xfId="0" applyFont="1" applyFill="1" applyBorder="1" applyAlignment="1">
      <alignment vertical="top" readingOrder="1"/>
    </xf>
    <xf numFmtId="0" fontId="29" fillId="0" borderId="4" xfId="0" applyFont="1" applyBorder="1" applyAlignment="1">
      <alignment vertical="top" readingOrder="1"/>
    </xf>
    <xf numFmtId="164" fontId="9" fillId="3" borderId="1" xfId="0" applyNumberFormat="1" applyFont="1" applyFill="1" applyBorder="1" applyAlignment="1">
      <alignment vertical="top" readingOrder="1"/>
    </xf>
    <xf numFmtId="49" fontId="9" fillId="4" borderId="1" xfId="0" applyNumberFormat="1" applyFont="1" applyFill="1" applyBorder="1" applyAlignment="1">
      <alignment vertical="top" readingOrder="1"/>
    </xf>
    <xf numFmtId="0" fontId="9" fillId="3" borderId="6" xfId="0" applyFont="1" applyFill="1" applyBorder="1" applyAlignment="1">
      <alignment vertical="top" readingOrder="1"/>
    </xf>
    <xf numFmtId="0" fontId="9" fillId="3" borderId="4" xfId="0" applyFont="1" applyFill="1" applyBorder="1" applyAlignment="1">
      <alignment vertical="top" readingOrder="1"/>
    </xf>
    <xf numFmtId="0" fontId="9" fillId="0" borderId="0" xfId="0" applyFont="1" applyAlignment="1">
      <alignment vertical="top" readingOrder="1"/>
    </xf>
    <xf numFmtId="0" fontId="2" fillId="0" borderId="0" xfId="0" applyFont="1" applyAlignment="1">
      <alignment vertical="top"/>
    </xf>
    <xf numFmtId="49" fontId="9" fillId="3" borderId="1" xfId="0" applyNumberFormat="1" applyFont="1" applyFill="1" applyBorder="1" applyAlignment="1">
      <alignment horizontal="right" vertical="top" readingOrder="1"/>
    </xf>
    <xf numFmtId="0" fontId="9" fillId="0" borderId="0" xfId="0" applyFont="1" applyAlignment="1">
      <alignment vertical="top"/>
    </xf>
    <xf numFmtId="49" fontId="7" fillId="3" borderId="4" xfId="0" applyNumberFormat="1" applyFont="1" applyFill="1" applyBorder="1" applyAlignment="1">
      <alignment horizontal="right" vertical="top" readingOrder="1"/>
    </xf>
    <xf numFmtId="49" fontId="7" fillId="3" borderId="1" xfId="0" applyNumberFormat="1" applyFont="1" applyFill="1" applyBorder="1" applyAlignment="1">
      <alignment horizontal="right" vertical="top" readingOrder="1"/>
    </xf>
    <xf numFmtId="49" fontId="7" fillId="3" borderId="6" xfId="0" applyNumberFormat="1" applyFont="1" applyFill="1" applyBorder="1" applyAlignment="1">
      <alignment horizontal="right" vertical="top" readingOrder="1"/>
    </xf>
    <xf numFmtId="0" fontId="9" fillId="3" borderId="0" xfId="0" applyFont="1" applyFill="1" applyAlignment="1">
      <alignment wrapText="1" readingOrder="1"/>
    </xf>
    <xf numFmtId="0" fontId="9" fillId="3" borderId="0" xfId="0" applyFont="1" applyFill="1" applyAlignment="1">
      <alignment readingOrder="1"/>
    </xf>
    <xf numFmtId="0" fontId="21" fillId="3" borderId="0" xfId="0" applyFont="1" applyFill="1" applyAlignment="1">
      <alignment vertical="top" readingOrder="1"/>
    </xf>
    <xf numFmtId="0" fontId="30" fillId="8" borderId="31" xfId="0" applyFont="1" applyFill="1" applyBorder="1"/>
    <xf numFmtId="0" fontId="23" fillId="8" borderId="1" xfId="0" applyFont="1" applyFill="1" applyBorder="1" applyAlignment="1">
      <alignment readingOrder="1"/>
    </xf>
    <xf numFmtId="0" fontId="18" fillId="0" borderId="32" xfId="0" applyFont="1" applyBorder="1"/>
    <xf numFmtId="0" fontId="9" fillId="3" borderId="26" xfId="0" applyFont="1" applyFill="1" applyBorder="1" applyAlignment="1">
      <alignment wrapText="1" readingOrder="1"/>
    </xf>
    <xf numFmtId="0" fontId="9" fillId="3" borderId="30" xfId="0" applyFont="1" applyFill="1" applyBorder="1" applyAlignment="1">
      <alignment wrapText="1" readingOrder="1"/>
    </xf>
    <xf numFmtId="0" fontId="9" fillId="3" borderId="27" xfId="0" applyFont="1" applyFill="1" applyBorder="1" applyAlignment="1">
      <alignment wrapText="1" readingOrder="1"/>
    </xf>
    <xf numFmtId="0" fontId="24" fillId="3" borderId="0" xfId="0" applyFont="1" applyFill="1"/>
    <xf numFmtId="0" fontId="26" fillId="0" borderId="0" xfId="0" applyFont="1" applyAlignment="1">
      <alignment readingOrder="1"/>
    </xf>
    <xf numFmtId="0" fontId="26" fillId="0" borderId="0" xfId="0" applyFont="1" applyAlignment="1">
      <alignment wrapText="1" readingOrder="1"/>
    </xf>
    <xf numFmtId="0" fontId="31" fillId="0" borderId="0" xfId="0" applyFont="1"/>
    <xf numFmtId="0" fontId="0" fillId="14" borderId="0" xfId="0" applyFill="1"/>
    <xf numFmtId="0" fontId="26" fillId="14" borderId="0" xfId="0" applyFont="1" applyFill="1" applyAlignment="1">
      <alignment wrapText="1" readingOrder="1"/>
    </xf>
    <xf numFmtId="0" fontId="24" fillId="0" borderId="0" xfId="0" applyFont="1"/>
    <xf numFmtId="0" fontId="12" fillId="0" borderId="18" xfId="0" applyFont="1" applyBorder="1" applyAlignment="1">
      <alignment vertical="top" readingOrder="1"/>
    </xf>
    <xf numFmtId="49" fontId="19" fillId="3" borderId="10" xfId="0" applyNumberFormat="1" applyFont="1" applyFill="1" applyBorder="1" applyAlignment="1">
      <alignment vertical="top" readingOrder="1"/>
    </xf>
    <xf numFmtId="49" fontId="12" fillId="3" borderId="1" xfId="0" applyNumberFormat="1" applyFont="1" applyFill="1" applyBorder="1" applyAlignment="1">
      <alignment horizontal="right" vertical="top" readingOrder="1"/>
    </xf>
    <xf numFmtId="45" fontId="7" fillId="3" borderId="3" xfId="0" applyNumberFormat="1" applyFont="1" applyFill="1" applyBorder="1" applyAlignment="1">
      <alignment horizontal="right" vertical="top" readingOrder="1"/>
    </xf>
    <xf numFmtId="45" fontId="7" fillId="3" borderId="4" xfId="0" applyNumberFormat="1" applyFont="1" applyFill="1" applyBorder="1" applyAlignment="1">
      <alignment horizontal="right" vertical="top" readingOrder="1"/>
    </xf>
    <xf numFmtId="45" fontId="7" fillId="3" borderId="1" xfId="0" applyNumberFormat="1" applyFont="1" applyFill="1" applyBorder="1" applyAlignment="1">
      <alignment horizontal="right" vertical="top" readingOrder="1"/>
    </xf>
    <xf numFmtId="49" fontId="7" fillId="3" borderId="10" xfId="0" applyNumberFormat="1" applyFont="1" applyFill="1" applyBorder="1" applyAlignment="1">
      <alignment horizontal="right" vertical="top" readingOrder="1"/>
    </xf>
    <xf numFmtId="14" fontId="0" fillId="0" borderId="0" xfId="0" applyNumberFormat="1"/>
    <xf numFmtId="14" fontId="18" fillId="15" borderId="33" xfId="0" applyNumberFormat="1" applyFont="1" applyFill="1" applyBorder="1"/>
    <xf numFmtId="14" fontId="18" fillId="15" borderId="34" xfId="0" applyNumberFormat="1" applyFont="1" applyFill="1" applyBorder="1"/>
    <xf numFmtId="0" fontId="33" fillId="0" borderId="0" xfId="0" applyFont="1"/>
    <xf numFmtId="0" fontId="24" fillId="16" borderId="35" xfId="0" applyFont="1" applyFill="1" applyBorder="1" applyAlignment="1">
      <alignment readingOrder="1"/>
    </xf>
    <xf numFmtId="0" fontId="30" fillId="17" borderId="36" xfId="0" applyFont="1" applyFill="1" applyBorder="1" applyAlignment="1">
      <alignment readingOrder="1"/>
    </xf>
    <xf numFmtId="0" fontId="30" fillId="17" borderId="13" xfId="0" applyFont="1" applyFill="1" applyBorder="1" applyAlignment="1">
      <alignment readingOrder="1"/>
    </xf>
    <xf numFmtId="0" fontId="30" fillId="17" borderId="37" xfId="0" applyFont="1" applyFill="1" applyBorder="1" applyAlignment="1">
      <alignment readingOrder="1"/>
    </xf>
    <xf numFmtId="20" fontId="24" fillId="18" borderId="38" xfId="0" applyNumberFormat="1" applyFont="1" applyFill="1" applyBorder="1" applyAlignment="1">
      <alignment readingOrder="1"/>
    </xf>
    <xf numFmtId="20" fontId="24" fillId="18" borderId="39" xfId="0" applyNumberFormat="1" applyFont="1" applyFill="1" applyBorder="1" applyAlignment="1">
      <alignment readingOrder="1"/>
    </xf>
    <xf numFmtId="0" fontId="3" fillId="3" borderId="0" xfId="0" applyFont="1" applyFill="1"/>
    <xf numFmtId="0" fontId="15" fillId="0" borderId="0" xfId="0" applyFont="1" applyAlignment="1">
      <alignment readingOrder="1"/>
    </xf>
    <xf numFmtId="0" fontId="35" fillId="0" borderId="0" xfId="0" applyFont="1"/>
    <xf numFmtId="0" fontId="36" fillId="0" borderId="0" xfId="0" applyFont="1"/>
    <xf numFmtId="0" fontId="35" fillId="12" borderId="0" xfId="0" applyFont="1" applyFill="1"/>
    <xf numFmtId="0" fontId="34" fillId="0" borderId="0" xfId="0" applyFont="1"/>
    <xf numFmtId="20" fontId="9" fillId="3" borderId="26" xfId="0" applyNumberFormat="1" applyFont="1" applyFill="1" applyBorder="1" applyAlignment="1">
      <alignment readingOrder="1"/>
    </xf>
    <xf numFmtId="20" fontId="9" fillId="3" borderId="30" xfId="0" applyNumberFormat="1" applyFont="1" applyFill="1" applyBorder="1" applyAlignment="1">
      <alignment readingOrder="1"/>
    </xf>
    <xf numFmtId="20" fontId="9" fillId="3" borderId="27" xfId="0" applyNumberFormat="1" applyFont="1" applyFill="1" applyBorder="1" applyAlignment="1">
      <alignment readingOrder="1"/>
    </xf>
    <xf numFmtId="49" fontId="19" fillId="3" borderId="1" xfId="0" applyNumberFormat="1" applyFont="1" applyFill="1" applyBorder="1" applyAlignment="1">
      <alignment vertical="top" readingOrder="1"/>
    </xf>
    <xf numFmtId="49" fontId="24" fillId="0" borderId="3" xfId="0" applyNumberFormat="1" applyFont="1" applyBorder="1" applyAlignment="1">
      <alignment vertical="top" readingOrder="1"/>
    </xf>
    <xf numFmtId="49" fontId="37" fillId="0" borderId="0" xfId="0" applyNumberFormat="1" applyFont="1" applyAlignment="1">
      <alignment vertical="top"/>
    </xf>
    <xf numFmtId="0" fontId="32" fillId="3" borderId="1" xfId="0" applyFont="1" applyFill="1" applyBorder="1" applyAlignment="1">
      <alignment vertical="top" wrapText="1" readingOrder="1"/>
    </xf>
    <xf numFmtId="0" fontId="31" fillId="0" borderId="0" xfId="0" applyFont="1" applyAlignment="1">
      <alignment readingOrder="1"/>
    </xf>
    <xf numFmtId="0" fontId="0" fillId="19" borderId="0" xfId="0" applyFill="1"/>
    <xf numFmtId="0" fontId="18" fillId="19" borderId="29" xfId="0" applyFont="1" applyFill="1" applyBorder="1"/>
    <xf numFmtId="0" fontId="26" fillId="19" borderId="26" xfId="0" applyFont="1" applyFill="1" applyBorder="1" applyAlignment="1">
      <alignment wrapText="1" readingOrder="1"/>
    </xf>
    <xf numFmtId="0" fontId="26" fillId="19" borderId="30" xfId="0" applyFont="1" applyFill="1" applyBorder="1" applyAlignment="1">
      <alignment wrapText="1" readingOrder="1"/>
    </xf>
    <xf numFmtId="0" fontId="18" fillId="19" borderId="21" xfId="0" applyFont="1" applyFill="1" applyBorder="1"/>
    <xf numFmtId="0" fontId="18" fillId="19" borderId="0" xfId="0" applyFont="1" applyFill="1"/>
    <xf numFmtId="0" fontId="1" fillId="0" borderId="0" xfId="0" applyFont="1" applyAlignment="1">
      <alignment vertical="top"/>
    </xf>
  </cellXfs>
  <cellStyles count="2">
    <cellStyle name="Hyperlink" xfId="1" xr:uid="{00000000-000B-0000-0000-000008000000}"/>
    <cellStyle name="Normal" xfId="0" builtinId="0"/>
  </cellStyles>
  <dxfs count="48">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border diagonalUp="0" diagonalDown="0">
        <left/>
        <right/>
        <top style="thin">
          <color theme="9"/>
        </top>
        <bottom/>
        <vertical/>
        <horizontal/>
      </border>
    </dxf>
    <dxf>
      <border diagonalUp="0" diagonalDown="0">
        <left/>
        <right/>
        <top style="thin">
          <color theme="9"/>
        </top>
        <bottom/>
        <vertical/>
        <horizontal/>
      </border>
    </dxf>
    <dxf>
      <border outline="0">
        <left style="thin">
          <color theme="9"/>
        </left>
        <right style="thin">
          <color theme="9"/>
        </right>
        <top style="thin">
          <color theme="9"/>
        </top>
        <bottom style="thin">
          <color theme="9"/>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color rgb="FF000000"/>
      </font>
      <numFmt numFmtId="19" formatCode="m/d/yyyy"/>
      <fill>
        <patternFill patternType="solid">
          <fgColor rgb="FF000000"/>
          <bgColor rgb="FFFFFFFF"/>
        </patternFill>
      </fill>
      <border diagonalUp="0" diagonalDown="0">
        <left/>
        <right style="thin">
          <color rgb="FFA9D08E"/>
        </right>
        <top style="thin">
          <color rgb="FFA9D08E"/>
        </top>
        <bottom style="thin">
          <color rgb="FFA9D08E"/>
        </bottom>
        <vertical/>
        <horizontal/>
      </border>
    </dxf>
    <dxf>
      <font>
        <color rgb="FF000000"/>
      </font>
      <numFmt numFmtId="19" formatCode="m/d/yyyy"/>
      <fill>
        <patternFill patternType="solid">
          <fgColor rgb="FF000000"/>
          <bgColor rgb="FFFFFFFF"/>
        </patternFill>
      </fill>
      <border diagonalUp="0" diagonalDown="0">
        <left/>
        <right/>
        <top style="thin">
          <color rgb="FFA9D08E"/>
        </top>
        <bottom style="thin">
          <color rgb="FFA9D08E"/>
        </bottom>
        <vertical/>
        <horizontal/>
      </border>
    </dxf>
    <dxf>
      <numFmt numFmtId="0" formatCode="General"/>
    </dxf>
    <dxf>
      <font>
        <sz val="10"/>
        <color rgb="FF000000"/>
        <charset val="1"/>
      </font>
      <numFmt numFmtId="0" formatCode="General"/>
    </dxf>
    <dxf>
      <font>
        <color rgb="FFAEAAAA"/>
      </font>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scheme val="none"/>
      </font>
      <numFmt numFmtId="0" formatCode="General"/>
      <alignment horizontal="general" vertical="top" textRotation="0" wrapText="0" indent="0" justifyLastLine="0" shrinkToFit="0" readingOrder="1"/>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1"/>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1"/>
    </dxf>
    <dxf>
      <font>
        <b val="0"/>
        <i val="0"/>
        <strike val="0"/>
        <condense val="0"/>
        <extend val="0"/>
        <outline val="0"/>
        <shadow val="0"/>
        <u val="none"/>
        <vertAlign val="baseline"/>
        <sz val="10"/>
        <color theme="1"/>
        <name val="Calibri"/>
        <scheme val="minor"/>
      </font>
      <fill>
        <patternFill patternType="solid">
          <fgColor indexed="64"/>
          <bgColor theme="7" tint="0.79998168889431442"/>
        </patternFill>
      </fill>
      <alignment horizontal="general" vertical="top" textRotation="0" wrapText="1"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fill>
        <patternFill patternType="solid">
          <fgColor indexed="64"/>
          <bgColor theme="7"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none"/>
      </font>
      <fill>
        <patternFill patternType="solid">
          <fgColor indexed="64"/>
          <bgColor theme="7"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numFmt numFmtId="30" formatCode="@"/>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Calibri"/>
        <scheme val="none"/>
      </font>
      <numFmt numFmtId="30" formatCode="@"/>
      <fill>
        <patternFill patternType="solid">
          <fgColor indexed="64"/>
          <bgColor theme="7" tint="0.79998168889431442"/>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30" formatCode="@"/>
      <fill>
        <patternFill patternType="solid">
          <fgColor indexed="64"/>
          <bgColor theme="7" tint="0.79998168889431442"/>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30" formatCode="@"/>
      <fill>
        <patternFill patternType="solid">
          <fgColor indexed="64"/>
          <bgColor theme="7" tint="0.79998168889431442"/>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30" formatCode="@"/>
      <fill>
        <patternFill patternType="solid">
          <fgColor indexed="64"/>
          <bgColor theme="7" tint="0.79998168889431442"/>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none"/>
      </font>
      <numFmt numFmtId="30" formatCode="@"/>
      <fill>
        <patternFill patternType="solid">
          <fgColor indexed="64"/>
          <bgColor theme="7"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numFmt numFmtId="164" formatCode="yyyy\-mm\-dd;@"/>
      <fill>
        <patternFill patternType="solid">
          <fgColor indexed="64"/>
          <bgColor theme="7" tint="0.79998168889431442"/>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AEAAAA"/>
        <name val="Calibri"/>
        <scheme val="none"/>
      </font>
      <numFmt numFmtId="0" formatCode="General"/>
      <fill>
        <patternFill patternType="none">
          <fgColor indexed="64"/>
          <bgColor indexed="65"/>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0"/>
        <color rgb="FFAEAAAA"/>
        <name val="Calibri"/>
        <scheme val="none"/>
      </font>
      <numFmt numFmtId="0" formatCode="General"/>
      <fill>
        <patternFill patternType="none">
          <fgColor indexed="64"/>
          <bgColor indexed="65"/>
        </patternFill>
      </fill>
      <alignment horizontal="general" vertical="top" textRotation="0" wrapText="0"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5" tint="0.79998168889431442"/>
        </patternFill>
      </fill>
      <alignment horizontal="general" vertical="top" textRotation="0" wrapText="0"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fill>
        <patternFill patternType="solid">
          <fgColor indexed="64"/>
          <bgColor theme="7" tint="0.79998168889431442"/>
        </patternFill>
      </fill>
      <alignment horizontal="general" vertical="top" textRotation="0" wrapText="0" indent="0" justifyLastLine="0" shrinkToFit="0" readingOrder="1"/>
      <border diagonalUp="0" diagonalDown="0">
        <left/>
        <right/>
        <top style="thin">
          <color rgb="FF000000"/>
        </top>
        <bottom/>
        <vertical/>
        <horizontal/>
      </border>
    </dxf>
    <dxf>
      <font>
        <b val="0"/>
        <i val="0"/>
        <strike val="0"/>
        <condense val="0"/>
        <extend val="0"/>
        <outline val="0"/>
        <shadow val="0"/>
        <u val="none"/>
        <vertAlign val="baseline"/>
        <sz val="10"/>
        <color theme="1"/>
        <name val="Calibri"/>
        <scheme val="none"/>
      </font>
      <fill>
        <patternFill patternType="solid">
          <fgColor indexed="64"/>
          <bgColor theme="7" tint="0.79998168889431442"/>
        </patternFill>
      </fill>
      <alignment horizontal="general" vertical="top" textRotation="0" wrapText="0" indent="0" justifyLastLine="0" shrinkToFit="0" readingOrder="1"/>
      <border diagonalUp="0" diagonalDown="0" outline="0">
        <left/>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1"/>
    </dxf>
    <dxf>
      <font>
        <b val="0"/>
        <i val="0"/>
        <strike val="0"/>
        <condense val="0"/>
        <extend val="0"/>
        <outline val="0"/>
        <shadow val="0"/>
        <u val="none"/>
        <vertAlign val="baseline"/>
        <sz val="10"/>
        <color theme="1"/>
        <name val="Calibri"/>
        <scheme val="none"/>
      </font>
      <alignment horizontal="general" vertical="top" textRotation="0" wrapText="0" indent="0" justifyLastLine="0" shrinkToFit="0" readingOrder="1"/>
      <border diagonalUp="0" diagonalDown="0">
        <left style="thin">
          <color rgb="FF000000"/>
        </left>
        <right style="thin">
          <color rgb="FF000000"/>
        </right>
        <top/>
        <bottom/>
      </border>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72972B2-F0A3-4E8F-A661-B01D083EB9DD}" autoFormatId="16" applyNumberFormats="0" applyBorderFormats="0" applyFontFormats="0" applyPatternFormats="0" applyAlignmentFormats="0" applyWidthHeightFormats="0">
  <queryTableRefresh nextId="17">
    <queryTableFields count="7">
      <queryTableField id="10" name="forename" tableColumnId="1"/>
      <queryTableField id="11" name="surname" tableColumnId="2"/>
      <queryTableField id="12" name="affiliation.Element:Text" tableColumnId="3"/>
      <queryTableField id="13" name="http://www.w3.org/XML/1998/namespace.Attribute:id" tableColumnId="4"/>
      <queryTableField id="14" name="Attribute:role" tableColumnId="5"/>
      <queryTableField id="15" name="note" tableColumnId="6"/>
      <queryTableField id="16" name="persNam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39704F0-B323-4335-97F5-DEA34A1719FC}" autoFormatId="16" applyNumberFormats="0" applyBorderFormats="0" applyFontFormats="0" applyPatternFormats="0" applyAlignmentFormats="0" applyWidthHeightFormats="0">
  <queryTableRefresh nextId="12">
    <queryTableFields count="7">
      <queryTableField id="5" name="Campaign" tableColumnId="5"/>
      <queryTableField id="2" name="ID" tableColumnId="2"/>
      <queryTableField id="1" name="Placename" tableColumnId="1"/>
      <queryTableField id="6" name="Note" tableColumnId="6"/>
      <queryTableField id="7" name="Type" tableColumnId="7"/>
      <queryTableField id="8" name="From" tableColumnId="8"/>
      <queryTableField id="9" name="To"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0000000-0016-0000-0600-000000000000}" autoFormatId="0" applyNumberFormats="0" applyBorderFormats="0" applyFontFormats="1" applyPatternFormats="1" applyAlignmentFormats="0" applyWidthHeightFormats="0">
  <queryTableRefresh preserveSortFilterLayout="0" nextId="5">
    <queryTableFields count="4">
      <queryTableField id="1" name="Placename" tableColumnId="9"/>
      <queryTableField id="2" name="ID" tableColumnId="10"/>
      <queryTableField id="3" name="Geonames ID" tableColumnId="11"/>
      <queryTableField id="4" name="Geo Type" tableColumnId="1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crdngs" displayName="Rcrdngs" ref="A1:AA513" totalsRowShown="0" headerRowDxfId="46" dataDxfId="45" headerRowBorderDxfId="43" tableBorderDxfId="44" totalsRowBorderDxfId="42">
  <autoFilter ref="A1:AA51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00000000-0010-0000-0100-000001000000}" name="Text" dataDxfId="41"/>
    <tableColumn id="14" xr3:uid="{65C9AEA3-7A5C-4794-AABA-FE4FBAB2DF45}" name="Next" dataDxfId="40"/>
    <tableColumn id="13" xr3:uid="{00BDBCB7-4613-4CFA-8A9F-87FD74D90A72}" name="Campaign" dataDxfId="39"/>
    <tableColumn id="2" xr3:uid="{00000000-0010-0000-0100-000002000000}" name="Speaker" dataDxfId="38">
      <calculatedColumnFormula array="1">_xlfn.TEXTJOIN(", ", TRUE(), _xlfn._xlws.FILTER(Speakers_in_Recordings!$B$2:$B$1502,Speakers_in_Recordings!$A$2:$A$1502=Rcrdngs[[#This Row],[Text]],"[no speaker selected in Speakers_in_Recordings]"))</calculatedColumnFormula>
    </tableColumn>
    <tableColumn id="3" xr3:uid="{00000000-0010-0000-0100-000003000000}" name="Subject" dataDxfId="37">
      <calculatedColumnFormula array="1">_xlfn.TEXTJOIN(", ", TRUE(), _xlfn._xlws.FILTER(Sbcts_Rcrdngs[Subject],Sbcts_Rcrdngs[Recording]=Rcrdngs[[#This Row],[Text]],"[no subject selected in Subjects_in_Recordings]"))</calculatedColumnFormula>
    </tableColumn>
    <tableColumn id="4" xr3:uid="{00000000-0010-0000-0100-000004000000}" name="Date" dataDxfId="36"/>
    <tableColumn id="5" xr3:uid="{00000000-0010-0000-0100-000005000000}" name="Length" dataDxfId="35"/>
    <tableColumn id="22" xr3:uid="{3870856D-25BC-4065-8E03-233DA19A32B1}" name="Status_Final" dataDxfId="34"/>
    <tableColumn id="24" xr3:uid="{054E4A5A-6EFC-461E-B5E9-1872F118C14D}" name="Access_audio" dataDxfId="33"/>
    <tableColumn id="25" xr3:uid="{C436B705-4F29-4573-9E22-F0219EA45EBB}" name="Access_transcription" dataDxfId="32"/>
    <tableColumn id="23" xr3:uid="{65ACBB4D-8388-4F5A-BB5B-168A76519BA4}" name="Transcription_progress" dataDxfId="31"/>
    <tableColumn id="20" xr3:uid="{99E3DDD5-166C-4124-8219-1504DBAE8D71}" name="Status" dataDxfId="30"/>
    <tableColumn id="6" xr3:uid="{00000000-0010-0000-0100-000006000000}" name="Rec. person" dataDxfId="29"/>
    <tableColumn id="10" xr3:uid="{FB4B4B10-F5B6-420A-80B7-6615AC13B748}" name="transcribed by" dataDxfId="28"/>
    <tableColumn id="16" xr3:uid="{789F30F5-18C4-432D-BB5C-168D74215B10}" name="transcription checked by" dataDxfId="27"/>
    <tableColumn id="8" xr3:uid="{047356F0-36BF-4028-85F3-F07698DCA884}" name="transcription checked by2" dataDxfId="26"/>
    <tableColumn id="17" xr3:uid="{D3861CDB-6216-4F0C-9153-D184C63298E1}" name="translated by" dataDxfId="25"/>
    <tableColumn id="18" xr3:uid="{7AF3BF17-1598-421F-8761-C5F0903F77D3}" name="translation checked by" dataDxfId="24"/>
    <tableColumn id="19" xr3:uid="{C3DB1509-791A-47F3-9916-5E70FB54BE7C}" name="glossed by" dataDxfId="23"/>
    <tableColumn id="11" xr3:uid="{4C84686F-9BA1-4496-BAB6-B6EE59272645}" name="glossing checked by" dataDxfId="22"/>
    <tableColumn id="7" xr3:uid="{00000000-0010-0000-0100-000007000000}" name="Place" dataDxfId="21"/>
    <tableColumn id="15" xr3:uid="{DAC0C709-9154-428E-ACD8-16637531C641}" name="Original Recording file" dataDxfId="20"/>
    <tableColumn id="9" xr3:uid="{00000000-0010-0000-0100-000009000000}" name="Transcribed Audio-file" dataDxfId="19"/>
    <tableColumn id="12" xr3:uid="{00000000-0010-0000-0100-00000C000000}" name="Internal Procedural Notes" dataDxfId="18"/>
    <tableColumn id="21" xr3:uid="{E6304A81-862D-435C-B17D-6618DDCB5999}" name="Document Type" dataDxfId="17"/>
    <tableColumn id="26" xr3:uid="{D29F81F8-C7A4-4602-9CAE-853C3563A99C}" name="Trigger_Warning" dataDxfId="16"/>
    <tableColumn id="28" xr3:uid="{170CBC6F-B1BD-4426-801C-9D621039D4AE}" name="Title" dataDxfId="15">
      <calculatedColumnFormula>Rcrdngs[[#This Row],[Text]]</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E3AC20-7E1E-4B94-977D-EE0B42B37235}" name="Team" displayName="Team" ref="A1:G20" tableType="queryTable" totalsRowShown="0">
  <autoFilter ref="A1:G20" xr:uid="{A9E3AC20-7E1E-4B94-977D-EE0B42B37235}"/>
  <tableColumns count="7">
    <tableColumn id="1" xr3:uid="{F119927B-D89F-4854-869E-001F9D4B29C3}" uniqueName="1" name="forename" queryTableFieldId="10" dataDxfId="14"/>
    <tableColumn id="2" xr3:uid="{3DF5EA4A-1124-4012-A36A-8B50F66560EB}" uniqueName="2" name="surname" queryTableFieldId="11" dataDxfId="13"/>
    <tableColumn id="3" xr3:uid="{A35FA011-CF52-4827-A944-38BC8C338400}" uniqueName="3" name="affiliation.Element:Text" queryTableFieldId="12"/>
    <tableColumn id="4" xr3:uid="{41DDB54A-8511-4522-BED0-6F8ADBBB0A32}" uniqueName="4" name="http://www.w3.org/XML/1998/namespace.Attribute:id" queryTableFieldId="13"/>
    <tableColumn id="5" xr3:uid="{4D1E524C-ED86-4C98-9FE9-20266038E956}" uniqueName="5" name="Attribute:role" queryTableFieldId="14" dataDxfId="12"/>
    <tableColumn id="6" xr3:uid="{7768E725-658D-49B6-9AF0-59128E37BAE0}" uniqueName="6" name="note" queryTableFieldId="15" dataDxfId="11"/>
    <tableColumn id="7" xr3:uid="{62D7B51D-C8E8-4776-AF87-1D2429140318}" uniqueName="7" name="persNam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10D51B8-9363-4833-9082-0DD1A3BFC34D}" name="Status" displayName="Status" ref="A1:B8" totalsRowShown="0">
  <autoFilter ref="A1:B8" xr:uid="{D10D51B8-9363-4833-9082-0DD1A3BFC34D}"/>
  <tableColumns count="2">
    <tableColumn id="1" xr3:uid="{7B210427-BC59-4B62-ACDB-6EE26BA69EA0}" name="Status"/>
    <tableColumn id="2" xr3:uid="{C04AFC3E-DF7E-45A2-A611-86DADA4CED66}" name="Description"/>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pkrs" displayName="Spkrs" ref="A1:O225" totalsRowShown="0">
  <autoFilter ref="A1:O225" xr:uid="{00000000-0009-0000-0100-000004000000}"/>
  <tableColumns count="15">
    <tableColumn id="1" xr3:uid="{00000000-0010-0000-0200-000001000000}" name="Speaker"/>
    <tableColumn id="11" xr3:uid="{5C0D1038-7193-43B5-BE1E-FFC442AE8F83}" name="CONSENT"/>
    <tableColumn id="5" xr3:uid="{00000000-0010-0000-0200-000005000000}" name="Gender"/>
    <tableColumn id="6" xr3:uid="{00000000-0010-0000-0200-000006000000}" name="Year of Birth"/>
    <tableColumn id="9" xr3:uid="{14BA528A-B756-44D6-866B-A06C6CAB5916}" name="Age Group"/>
    <tableColumn id="10" xr3:uid="{ADBB4517-5BC4-49CF-976F-053C6B308296}" name="Age Group Comment"/>
    <tableColumn id="7" xr3:uid="{00000000-0010-0000-0200-000007000000}" name="Languages"/>
    <tableColumn id="4" xr3:uid="{C4E86A8F-FA04-4D4F-B797-F9A6F688FD80}" name="Place of Origin"/>
    <tableColumn id="2" xr3:uid="{00000000-0010-0000-0200-000002000000}" name="Note"/>
    <tableColumn id="3" xr3:uid="{00000000-0010-0000-0200-000003000000}" name="Recordings" dataDxfId="9">
      <calculatedColumnFormula array="1">_xlfn.TEXTJOIN(", ",TRUE(),_xlfn._xlws.FILTER(#REF!,#REF!=_xlfn.SINGLE(Spkrs[Speaker]),"N/A"))</calculatedColumnFormula>
    </tableColumn>
    <tableColumn id="8" xr3:uid="{CC1766AE-4163-44F7-A5FC-934537D75516}" name="Tribe"/>
    <tableColumn id="20" xr3:uid="{AC3C2B82-FC17-4D8A-AEDD-E02A6F5123E5}" name="Mother origin"/>
    <tableColumn id="21" xr3:uid="{E25BA83C-BCE4-4E60-BCD9-CD70953EDD22}" name="Cattle-related business"/>
    <tableColumn id="22" xr3:uid="{EC6D5CF9-D4C6-40B0-B88B-0E70AB23DE4D}" name="Education"/>
    <tableColumn id="12" xr3:uid="{7A173BED-8ED9-40A9-AE5B-7860D1859F3F}" name="Speaker Label"/>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461BF3-7040-44EE-A130-D3A179702BB7}" name="Campaigns" displayName="Campaigns" ref="A1:G17" tableType="queryTable" totalsRowShown="0">
  <autoFilter ref="A1:G17" xr:uid="{78461BF3-7040-44EE-A130-D3A179702BB7}"/>
  <tableColumns count="7">
    <tableColumn id="5" xr3:uid="{884F50CB-F9B8-4EFF-8426-AEC5B6C0A66F}" uniqueName="5" name="Campaign" queryTableFieldId="5" dataDxfId="8"/>
    <tableColumn id="2" xr3:uid="{5D748125-29EC-400A-9585-3099146A2718}" uniqueName="2" name="ID" queryTableFieldId="2"/>
    <tableColumn id="1" xr3:uid="{53523E3D-D607-4B32-B558-7013EED34D10}" uniqueName="1" name="Placename" queryTableFieldId="1"/>
    <tableColumn id="6" xr3:uid="{AC8BDD12-3EF3-4378-AB90-C509C9F81D4A}" uniqueName="6" name="Note" queryTableFieldId="6"/>
    <tableColumn id="7" xr3:uid="{1DBFB1F5-6A2B-4EE1-B273-F6724BCC6D55}" uniqueName="7" name="Type" queryTableFieldId="7" dataDxfId="7"/>
    <tableColumn id="8" xr3:uid="{98A86AAE-153C-4B78-8785-DEA9BEF16545}" uniqueName="8" name="From" queryTableFieldId="8" dataDxfId="6"/>
    <tableColumn id="9" xr3:uid="{8E105FB0-8B09-40DA-9404-3B4D83D34EB6}" uniqueName="9" name="To" queryTableFieldId="9" dataDxf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Sbcts_Rcrdngs" displayName="Sbcts_Rcrdngs" ref="A1:B899" totalsRowShown="0" headerRowDxfId="4" tableBorderDxfId="3">
  <autoFilter ref="A1:B899" xr:uid="{00000000-0009-0000-0100-000007000000}"/>
  <sortState xmlns:xlrd2="http://schemas.microsoft.com/office/spreadsheetml/2017/richdata2" ref="A2:B571">
    <sortCondition ref="A1:A571"/>
  </sortState>
  <tableColumns count="2">
    <tableColumn id="1" xr3:uid="{00000000-0010-0000-0500-000001000000}" name="Recording" dataDxfId="2"/>
    <tableColumn id="2" xr3:uid="{00000000-0010-0000-0500-000002000000}" name="Subject" dataDxfId="1"/>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Sbjcts" displayName="Sbjcts" ref="A1:B51" totalsRowShown="0">
  <autoFilter ref="A1:B51" xr:uid="{00000000-0009-0000-0100-000003000000}"/>
  <sortState xmlns:xlrd2="http://schemas.microsoft.com/office/spreadsheetml/2017/richdata2" ref="A2:B26">
    <sortCondition ref="A1:A26"/>
  </sortState>
  <tableColumns count="2">
    <tableColumn id="1" xr3:uid="{00000000-0010-0000-0400-000001000000}" name="Label" dataDxfId="0"/>
    <tableColumn id="2" xr3:uid="{00000000-0010-0000-0400-000002000000}" name="Definition"/>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Plcs" displayName="Plcs" ref="A1:D720" tableType="queryTable" totalsRowShown="0">
  <autoFilter ref="A1:D720" xr:uid="{00000000-000C-0000-FFFF-FFFF06000000}"/>
  <tableColumns count="4">
    <tableColumn id="9" xr3:uid="{03377EB8-4DED-4C15-8527-49866F2F773E}" uniqueName="9" name="Placename" queryTableFieldId="1"/>
    <tableColumn id="10" xr3:uid="{DED280FF-E12C-4876-861A-8353049E478A}" uniqueName="10" name="ID" queryTableFieldId="2"/>
    <tableColumn id="11" xr3:uid="{915FDBC7-9207-4568-9714-3AA0DBFABD31}" uniqueName="11" name="Geonames ID" queryTableFieldId="3"/>
    <tableColumn id="12" xr3:uid="{F64FB29C-6FEE-4BA5-B917-19D68E4B14F4}" uniqueName="12" name="Geo Type"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D925AB-4D21-4081-8C4A-517977F61A00}" name="Tabelle3" displayName="Tabelle3" ref="A1:D8" totalsRowShown="0">
  <autoFilter ref="A1:D8" xr:uid="{92D925AB-4D21-4081-8C4A-517977F61A00}"/>
  <tableColumns count="4">
    <tableColumn id="1" xr3:uid="{13D6D930-A4F7-401A-B1F9-CFD4FADFD137}" name="Age Group"/>
    <tableColumn id="2" xr3:uid="{1A338220-ECB6-48C8-A46A-50D7FD167AB5}" name="Description"/>
    <tableColumn id="3" xr3:uid="{8950CD63-A6F6-4AFB-A29E-F860892CFA0F}" name="At Least"/>
    <tableColumn id="4" xr3:uid="{31A90603-3BF3-486E-B188-FFBDE7B87C75}" name="At Mos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513"/>
  <sheetViews>
    <sheetView tabSelected="1" workbookViewId="0">
      <pane xSplit="2" topLeftCell="Q106" activePane="topRight" state="frozen"/>
      <selection pane="topRight" activeCell="U137" sqref="U137"/>
    </sheetView>
  </sheetViews>
  <sheetFormatPr defaultColWidth="42.5703125" defaultRowHeight="15" customHeight="1"/>
  <cols>
    <col min="1" max="2" width="42.5703125" style="5" customWidth="1"/>
    <col min="3" max="3" width="45.42578125" style="5" customWidth="1"/>
    <col min="4" max="4" width="83" style="5" customWidth="1"/>
    <col min="5" max="5" width="33" style="7" customWidth="1"/>
    <col min="6" max="6" width="18.42578125" style="7" customWidth="1"/>
    <col min="7" max="7" width="22.140625" style="14" customWidth="1"/>
    <col min="8" max="8" width="16.7109375" style="14" customWidth="1"/>
    <col min="9" max="9" width="16.5703125" style="14" customWidth="1"/>
    <col min="10" max="10" width="20.7109375" style="14" customWidth="1"/>
    <col min="11" max="11" width="21" style="180" customWidth="1"/>
    <col min="12" max="12" width="13.42578125" style="14" customWidth="1"/>
    <col min="13" max="13" width="14.85546875" style="5" customWidth="1"/>
    <col min="14" max="14" width="18.85546875" style="5" customWidth="1"/>
    <col min="15" max="15" width="20.28515625" style="5" customWidth="1"/>
    <col min="16" max="16" width="20" style="5" customWidth="1"/>
    <col min="17" max="17" width="18.7109375" style="5" customWidth="1"/>
    <col min="18" max="18" width="23.5703125" style="5" customWidth="1"/>
    <col min="19" max="19" width="18.7109375" style="5" customWidth="1"/>
    <col min="20" max="20" width="19" style="5" customWidth="1"/>
    <col min="21" max="22" width="42.5703125" style="5" bestFit="1" customWidth="1"/>
    <col min="23" max="23" width="26.140625" style="5" customWidth="1"/>
    <col min="24" max="24" width="25.42578125" style="5" customWidth="1"/>
    <col min="25" max="26" width="42.5703125" style="5" bestFit="1" customWidth="1"/>
    <col min="27" max="27" width="87.42578125" style="8" bestFit="1" customWidth="1"/>
    <col min="28" max="16384" width="42.5703125" style="5"/>
  </cols>
  <sheetData>
    <row r="1" spans="1:27">
      <c r="A1" s="1" t="s">
        <v>0</v>
      </c>
      <c r="B1" s="1" t="s">
        <v>1</v>
      </c>
      <c r="C1" s="16" t="s">
        <v>2</v>
      </c>
      <c r="D1" s="2" t="s">
        <v>3</v>
      </c>
      <c r="E1" s="6" t="s">
        <v>4</v>
      </c>
      <c r="F1" s="3" t="s">
        <v>5</v>
      </c>
      <c r="G1" s="13" t="s">
        <v>6</v>
      </c>
      <c r="H1" s="13" t="s">
        <v>7</v>
      </c>
      <c r="I1" s="13" t="s">
        <v>8</v>
      </c>
      <c r="J1" s="13" t="s">
        <v>9</v>
      </c>
      <c r="K1" s="179" t="s">
        <v>10</v>
      </c>
      <c r="L1" s="25" t="s">
        <v>11</v>
      </c>
      <c r="M1" s="2" t="s">
        <v>12</v>
      </c>
      <c r="N1" s="2" t="s">
        <v>13</v>
      </c>
      <c r="O1" s="4" t="s">
        <v>14</v>
      </c>
      <c r="P1" s="2" t="s">
        <v>15</v>
      </c>
      <c r="Q1" s="15" t="s">
        <v>16</v>
      </c>
      <c r="R1" s="15" t="s">
        <v>17</v>
      </c>
      <c r="S1" s="15" t="s">
        <v>18</v>
      </c>
      <c r="T1" s="15" t="s">
        <v>19</v>
      </c>
      <c r="U1" s="2" t="s">
        <v>20</v>
      </c>
      <c r="V1" s="2" t="s">
        <v>21</v>
      </c>
      <c r="W1" s="2" t="s">
        <v>22</v>
      </c>
      <c r="X1" s="4" t="s">
        <v>23</v>
      </c>
      <c r="Y1" s="15" t="s">
        <v>24</v>
      </c>
      <c r="Z1" s="15" t="s">
        <v>25</v>
      </c>
      <c r="AA1" s="15" t="s">
        <v>26</v>
      </c>
    </row>
    <row r="2" spans="1:27" s="55" customFormat="1" ht="15" customHeight="1">
      <c r="A2" s="46" t="s">
        <v>27</v>
      </c>
      <c r="B2" s="56" t="s">
        <v>28</v>
      </c>
      <c r="C2" s="47" t="s">
        <v>29</v>
      </c>
      <c r="D2" s="37" t="str" cm="1">
        <f t="array" ref="D2">_xlfn.TEXTJOIN(", ", TRUE(), _xlfn._xlws.FILTER(Speakers_in_Recordings!$B$2:$B$1502,Speakers_in_Recordings!$A$2:$A$1502=Rcrdngs[[#This Row],[Text]],"[no speaker selected in Speakers_in_Recordings]"))</f>
        <v>SAU_2022_Speaker10, SAU_2022_Gunda</v>
      </c>
      <c r="E2" s="17" t="str" cm="1">
        <f t="array" ref="E2">_xlfn.TEXTJOIN(", ", TRUE(), _xlfn._xlws.FILTER(Sbcts_Rcrdngs[Subject],Sbcts_Rcrdngs[Recording]=Rcrdngs[[#This Row],[Text]],"[no subject selected in Subjects_in_Recordings]"))</f>
        <v>Marriage</v>
      </c>
      <c r="F2" s="48">
        <v>44633</v>
      </c>
      <c r="G2" s="158" t="s">
        <v>30</v>
      </c>
      <c r="H2" s="49" t="s">
        <v>31</v>
      </c>
      <c r="I2" s="49" t="s">
        <v>32</v>
      </c>
      <c r="J2" s="153" t="s">
        <v>32</v>
      </c>
      <c r="K2" s="153" t="s">
        <v>33</v>
      </c>
      <c r="L2" s="50" t="s">
        <v>34</v>
      </c>
      <c r="M2" s="51" t="s">
        <v>35</v>
      </c>
      <c r="N2" s="51" t="s">
        <v>36</v>
      </c>
      <c r="O2" s="52"/>
      <c r="P2" s="52"/>
      <c r="Q2" s="52"/>
      <c r="R2" s="52"/>
      <c r="S2" s="52"/>
      <c r="T2" s="52"/>
      <c r="U2" s="51" t="s">
        <v>37</v>
      </c>
      <c r="V2" s="53"/>
      <c r="W2" s="53"/>
      <c r="X2" s="54" t="s">
        <v>38</v>
      </c>
      <c r="Y2" s="75" t="s">
        <v>39</v>
      </c>
      <c r="Z2" s="75"/>
      <c r="AA2" s="162" t="s">
        <v>40</v>
      </c>
    </row>
    <row r="3" spans="1:27" ht="15" customHeight="1">
      <c r="A3" s="56" t="s">
        <v>28</v>
      </c>
      <c r="B3" s="56"/>
      <c r="C3" s="57" t="s">
        <v>29</v>
      </c>
      <c r="D3" s="37" t="str" cm="1">
        <f t="array" ref="D3">_xlfn.TEXTJOIN(", ", TRUE(), _xlfn._xlws.FILTER(Speakers_in_Recordings!$B$2:$B$1502,Speakers_in_Recordings!$A$2:$A$1502=Rcrdngs[[#This Row],[Text]],"[no speaker selected in Speakers_in_Recordings]"))</f>
        <v>SAU_2022_Speaker10, SAU_2022_Gunda</v>
      </c>
      <c r="E3" s="17" t="str" cm="1">
        <f t="array" ref="E3">_xlfn.TEXTJOIN(", ", TRUE(), _xlfn._xlws.FILTER(Sbcts_Rcrdngs[Subject],Sbcts_Rcrdngs[Recording]=Rcrdngs[[#This Row],[Text]],"[no subject selected in Subjects_in_Recordings]"))</f>
        <v>Marriage, Feasts, Funerals</v>
      </c>
      <c r="F3" s="58">
        <v>44605</v>
      </c>
      <c r="G3" s="155" t="s">
        <v>41</v>
      </c>
      <c r="H3" s="49" t="s">
        <v>31</v>
      </c>
      <c r="I3" s="49" t="s">
        <v>32</v>
      </c>
      <c r="J3" s="153" t="s">
        <v>32</v>
      </c>
      <c r="K3" s="153" t="s">
        <v>33</v>
      </c>
      <c r="L3" s="59" t="s">
        <v>34</v>
      </c>
      <c r="M3" s="40" t="s">
        <v>35</v>
      </c>
      <c r="N3" s="40" t="s">
        <v>36</v>
      </c>
      <c r="O3" s="41"/>
      <c r="P3" s="41"/>
      <c r="Q3" s="41"/>
      <c r="R3" s="41"/>
      <c r="S3" s="41"/>
      <c r="T3" s="41"/>
      <c r="U3" s="51" t="s">
        <v>37</v>
      </c>
      <c r="V3" s="22"/>
      <c r="W3" s="22"/>
      <c r="X3" t="s">
        <v>42</v>
      </c>
      <c r="Y3" s="75" t="s">
        <v>39</v>
      </c>
      <c r="Z3" s="76"/>
      <c r="AA3" s="162" t="s">
        <v>43</v>
      </c>
    </row>
    <row r="4" spans="1:27" ht="15" customHeight="1">
      <c r="A4" s="96" t="s">
        <v>44</v>
      </c>
      <c r="B4" s="96"/>
      <c r="C4" s="36" t="s">
        <v>29</v>
      </c>
      <c r="D4" s="37" t="str" cm="1">
        <f t="array" ref="D4">_xlfn.TEXTJOIN(", ", TRUE(), _xlfn._xlws.FILTER(Speakers_in_Recordings!$B$2:$B$1502,Speakers_in_Recordings!$A$2:$A$1502=Rcrdngs[[#This Row],[Text]],"[no speaker selected in Speakers_in_Recordings]"))</f>
        <v>SAU_2022_Speaker20, SAU_2022_Speaker9, SAU_2022_CulturalInformant</v>
      </c>
      <c r="E4" s="17" t="str" cm="1">
        <f t="array" ref="E4">_xlfn.TEXTJOIN(", ", TRUE(), _xlfn._xlws.FILTER(Sbcts_Rcrdngs[Subject],Sbcts_Rcrdngs[Recording]=Rcrdngs[[#This Row],[Text]],"[no subject selected in Subjects_in_Recordings]"))</f>
        <v>Tools</v>
      </c>
      <c r="F4" s="38">
        <v>44635</v>
      </c>
      <c r="G4" s="156" t="s">
        <v>45</v>
      </c>
      <c r="H4" s="49" t="s">
        <v>31</v>
      </c>
      <c r="I4" s="49" t="s">
        <v>46</v>
      </c>
      <c r="J4" s="153" t="s">
        <v>32</v>
      </c>
      <c r="K4" s="153" t="s">
        <v>33</v>
      </c>
      <c r="L4" s="39" t="s">
        <v>34</v>
      </c>
      <c r="M4" s="40" t="s">
        <v>35</v>
      </c>
      <c r="N4" s="40" t="s">
        <v>36</v>
      </c>
      <c r="O4" s="41"/>
      <c r="P4" s="41"/>
      <c r="Q4" s="41"/>
      <c r="R4" s="42"/>
      <c r="S4" s="42"/>
      <c r="T4" s="42"/>
      <c r="U4" s="43"/>
      <c r="V4" s="22"/>
      <c r="W4" s="22"/>
      <c r="X4" s="44"/>
      <c r="Y4" s="75" t="s">
        <v>39</v>
      </c>
      <c r="Z4" s="76"/>
      <c r="AA4" s="162" t="s">
        <v>47</v>
      </c>
    </row>
    <row r="5" spans="1:27" ht="15" customHeight="1">
      <c r="A5" s="27" t="s">
        <v>48</v>
      </c>
      <c r="B5" s="27"/>
      <c r="C5" s="28" t="s">
        <v>29</v>
      </c>
      <c r="D5" s="37" t="str" cm="1">
        <f t="array" ref="D5">_xlfn.TEXTJOIN(", ", TRUE(), _xlfn._xlws.FILTER(Speakers_in_Recordings!$B$2:$B$1502,Speakers_in_Recordings!$A$2:$A$1502=Rcrdngs[[#This Row],[Text]],"[no speaker selected in Speakers_in_Recordings]"))</f>
        <v>SAU_2022_Speaker20</v>
      </c>
      <c r="E5" s="17" t="str" cm="1">
        <f t="array" ref="E5">_xlfn.TEXTJOIN(", ", TRUE(), _xlfn._xlws.FILTER(Sbcts_Rcrdngs[Subject],Sbcts_Rcrdngs[Recording]=Rcrdngs[[#This Row],[Text]],"[no subject selected in Subjects_in_Recordings]"))</f>
        <v>Herding</v>
      </c>
      <c r="F5" s="29">
        <v>44609</v>
      </c>
      <c r="G5" s="156" t="s">
        <v>49</v>
      </c>
      <c r="H5" s="49" t="s">
        <v>31</v>
      </c>
      <c r="I5" s="49" t="s">
        <v>46</v>
      </c>
      <c r="J5" s="153" t="s">
        <v>32</v>
      </c>
      <c r="K5" s="153" t="s">
        <v>33</v>
      </c>
      <c r="L5" s="31" t="s">
        <v>34</v>
      </c>
      <c r="M5" s="20" t="s">
        <v>35</v>
      </c>
      <c r="N5" s="20" t="s">
        <v>36</v>
      </c>
      <c r="O5" s="21"/>
      <c r="P5" s="21"/>
      <c r="Q5" s="21"/>
      <c r="R5" s="33"/>
      <c r="S5" s="33"/>
      <c r="T5" s="33"/>
      <c r="U5" s="32"/>
      <c r="V5" s="22"/>
      <c r="W5" s="23"/>
      <c r="X5" s="34"/>
      <c r="Y5" s="75" t="s">
        <v>39</v>
      </c>
      <c r="Z5" s="76"/>
      <c r="AA5" s="162" t="s">
        <v>50</v>
      </c>
    </row>
    <row r="6" spans="1:27" ht="15" customHeight="1">
      <c r="A6" s="35" t="s">
        <v>51</v>
      </c>
      <c r="B6" s="27"/>
      <c r="C6" s="28" t="s">
        <v>29</v>
      </c>
      <c r="D6" s="37" t="str" cm="1">
        <f t="array" ref="D6">_xlfn.TEXTJOIN(", ", TRUE(), _xlfn._xlws.FILTER(Speakers_in_Recordings!$B$2:$B$1502,Speakers_in_Recordings!$A$2:$A$1502=Rcrdngs[[#This Row],[Text]],"[no speaker selected in Speakers_in_Recordings]"))</f>
        <v>SAU_2022_Speaker20, SAU_2022_Gunda</v>
      </c>
      <c r="E6" s="17" t="str" cm="1">
        <f t="array" ref="E6">_xlfn.TEXTJOIN(", ", TRUE(), _xlfn._xlws.FILTER(Sbcts_Rcrdngs[Subject],Sbcts_Rcrdngs[Recording]=Rcrdngs[[#This Row],[Text]],"[no subject selected in Subjects_in_Recordings]"))</f>
        <v>Tribal Traditions</v>
      </c>
      <c r="F6" s="38">
        <v>44635</v>
      </c>
      <c r="G6" s="157" t="s">
        <v>52</v>
      </c>
      <c r="H6" s="49" t="s">
        <v>31</v>
      </c>
      <c r="I6" s="49" t="s">
        <v>46</v>
      </c>
      <c r="J6" s="153" t="s">
        <v>32</v>
      </c>
      <c r="K6" s="153" t="s">
        <v>33</v>
      </c>
      <c r="L6" s="31" t="s">
        <v>34</v>
      </c>
      <c r="M6" s="20" t="s">
        <v>35</v>
      </c>
      <c r="N6" s="20" t="s">
        <v>36</v>
      </c>
      <c r="O6" s="21"/>
      <c r="P6" s="21"/>
      <c r="Q6" s="21"/>
      <c r="R6" s="21"/>
      <c r="S6" s="21"/>
      <c r="T6" s="21"/>
      <c r="U6" s="20"/>
      <c r="V6" s="22"/>
      <c r="W6" s="23"/>
      <c r="X6" s="24"/>
      <c r="Y6" s="75" t="s">
        <v>39</v>
      </c>
      <c r="Z6" s="76"/>
      <c r="AA6" s="162" t="s">
        <v>53</v>
      </c>
    </row>
    <row r="7" spans="1:27" ht="15" customHeight="1">
      <c r="A7" s="35" t="s">
        <v>54</v>
      </c>
      <c r="B7" s="27"/>
      <c r="C7" s="28" t="s">
        <v>29</v>
      </c>
      <c r="D7" s="37" t="str" cm="1">
        <f t="array" ref="D7">_xlfn.TEXTJOIN(", ", TRUE(), _xlfn._xlws.FILTER(Speakers_in_Recordings!$B$2:$B$1502,Speakers_in_Recordings!$A$2:$A$1502=Rcrdngs[[#This Row],[Text]],"[no speaker selected in Speakers_in_Recordings]"))</f>
        <v>SAU_2022_Speaker20, SAU_2022_Gunda, SAU_2022_Speaker9, SAU_2022_CulturalInformant</v>
      </c>
      <c r="E7" s="17" t="str" cm="1">
        <f t="array" ref="E7">_xlfn.TEXTJOIN(", ", TRUE(), _xlfn._xlws.FILTER(Sbcts_Rcrdngs[Subject],Sbcts_Rcrdngs[Recording]=Rcrdngs[[#This Row],[Text]],"[no subject selected in Subjects_in_Recordings]"))</f>
        <v>Tribal Traditions</v>
      </c>
      <c r="F7" s="38">
        <v>44635</v>
      </c>
      <c r="G7" s="157" t="s">
        <v>55</v>
      </c>
      <c r="H7" s="49" t="s">
        <v>31</v>
      </c>
      <c r="I7" s="49" t="s">
        <v>46</v>
      </c>
      <c r="J7" s="153" t="s">
        <v>32</v>
      </c>
      <c r="K7" s="153" t="s">
        <v>33</v>
      </c>
      <c r="L7" s="31" t="s">
        <v>34</v>
      </c>
      <c r="M7" s="20" t="s">
        <v>35</v>
      </c>
      <c r="N7" s="20" t="s">
        <v>36</v>
      </c>
      <c r="O7" s="21"/>
      <c r="P7" s="21"/>
      <c r="Q7" s="21"/>
      <c r="R7" s="21"/>
      <c r="S7" s="21"/>
      <c r="T7" s="21"/>
      <c r="U7" s="20"/>
      <c r="V7" s="22"/>
      <c r="W7" s="23"/>
      <c r="X7" s="24"/>
      <c r="Y7" s="75" t="s">
        <v>39</v>
      </c>
      <c r="Z7" s="76"/>
      <c r="AA7" s="162" t="s">
        <v>56</v>
      </c>
    </row>
    <row r="8" spans="1:27" ht="15" customHeight="1">
      <c r="A8" s="35" t="s">
        <v>57</v>
      </c>
      <c r="B8" s="27"/>
      <c r="C8" s="28" t="s">
        <v>29</v>
      </c>
      <c r="D8" s="37" t="str" cm="1">
        <f t="array" ref="D8">_xlfn.TEXTJOIN(", ", TRUE(), _xlfn._xlws.FILTER(Speakers_in_Recordings!$B$2:$B$1502,Speakers_in_Recordings!$A$2:$A$1502=Rcrdngs[[#This Row],[Text]],"[no speaker selected in Speakers_in_Recordings]"))</f>
        <v>SAU_2022_Speaker20, SAU_2022_Gunda, SAU_2022_Speaker9, SAU_2022_CulturalInformant</v>
      </c>
      <c r="E8" s="17" t="str" cm="1">
        <f t="array" ref="E8">_xlfn.TEXTJOIN(", ", TRUE(), _xlfn._xlws.FILTER(Sbcts_Rcrdngs[Subject],Sbcts_Rcrdngs[Recording]=Rcrdngs[[#This Row],[Text]],"[no subject selected in Subjects_in_Recordings]"))</f>
        <v>Tribal Traditions</v>
      </c>
      <c r="F8" s="38">
        <v>44635</v>
      </c>
      <c r="G8" s="157" t="s">
        <v>58</v>
      </c>
      <c r="H8" s="49" t="s">
        <v>31</v>
      </c>
      <c r="I8" s="49" t="s">
        <v>46</v>
      </c>
      <c r="J8" s="153" t="s">
        <v>32</v>
      </c>
      <c r="K8" s="153" t="s">
        <v>33</v>
      </c>
      <c r="L8" s="31" t="s">
        <v>34</v>
      </c>
      <c r="M8" s="20" t="s">
        <v>35</v>
      </c>
      <c r="N8" s="20" t="s">
        <v>36</v>
      </c>
      <c r="O8" s="21"/>
      <c r="P8" s="21"/>
      <c r="Q8" s="21"/>
      <c r="R8" s="21"/>
      <c r="S8" s="21"/>
      <c r="T8" s="21"/>
      <c r="U8" s="20"/>
      <c r="V8" s="22"/>
      <c r="W8" s="23"/>
      <c r="X8" s="24"/>
      <c r="Y8" s="75" t="s">
        <v>39</v>
      </c>
      <c r="Z8" s="76"/>
      <c r="AA8" s="162" t="s">
        <v>59</v>
      </c>
    </row>
    <row r="9" spans="1:27" ht="15" customHeight="1">
      <c r="A9" s="27" t="s">
        <v>60</v>
      </c>
      <c r="B9" s="27"/>
      <c r="C9" s="28" t="s">
        <v>29</v>
      </c>
      <c r="D9" s="37" t="str" cm="1">
        <f t="array" ref="D9">_xlfn.TEXTJOIN(", ", TRUE(), _xlfn._xlws.FILTER(Speakers_in_Recordings!$B$2:$B$1502,Speakers_in_Recordings!$A$2:$A$1502=Rcrdngs[[#This Row],[Text]],"[no speaker selected in Speakers_in_Recordings]"))</f>
        <v>SAU_2022_Speaker14, SAU_2022_Gunda</v>
      </c>
      <c r="E9" s="17" t="str" cm="1">
        <f t="array" ref="E9">_xlfn.TEXTJOIN(", ", TRUE(), _xlfn._xlws.FILTER(Sbcts_Rcrdngs[Subject],Sbcts_Rcrdngs[Recording]=Rcrdngs[[#This Row],[Text]],"[no subject selected in Subjects_in_Recordings]"))</f>
        <v>Women's work, Childhood</v>
      </c>
      <c r="F9" s="29">
        <v>44638</v>
      </c>
      <c r="G9" s="156" t="s">
        <v>61</v>
      </c>
      <c r="H9" s="49" t="s">
        <v>31</v>
      </c>
      <c r="I9" s="49" t="s">
        <v>32</v>
      </c>
      <c r="J9" s="153" t="s">
        <v>32</v>
      </c>
      <c r="K9" s="153" t="s">
        <v>33</v>
      </c>
      <c r="L9" s="31" t="s">
        <v>34</v>
      </c>
      <c r="M9" s="20" t="s">
        <v>35</v>
      </c>
      <c r="N9" s="20" t="s">
        <v>36</v>
      </c>
      <c r="O9" s="33"/>
      <c r="P9" s="33"/>
      <c r="Q9" s="33"/>
      <c r="R9" s="33"/>
      <c r="S9" s="33"/>
      <c r="T9" s="33"/>
      <c r="U9" s="32" t="s">
        <v>62</v>
      </c>
      <c r="V9" s="22"/>
      <c r="W9" s="23"/>
      <c r="X9" s="34"/>
      <c r="Y9" s="75" t="s">
        <v>39</v>
      </c>
      <c r="Z9" s="76"/>
      <c r="AA9" s="162" t="s">
        <v>63</v>
      </c>
    </row>
    <row r="10" spans="1:27" ht="15" customHeight="1">
      <c r="A10" s="35" t="s">
        <v>64</v>
      </c>
      <c r="B10" s="35" t="s">
        <v>65</v>
      </c>
      <c r="C10" s="45" t="s">
        <v>66</v>
      </c>
      <c r="D10" s="17" t="str" cm="1">
        <f t="array" ref="D10">_xlfn.TEXTJOIN(", ", TRUE(), _xlfn._xlws.FILTER(Speakers_in_Recordings!$B$2:$B$1502,Speakers_in_Recordings!$A$2:$A$1502=Rcrdngs[[#This Row],[Text]],"[no speaker selected in Speakers_in_Recordings]"))</f>
        <v>KUW_2022_Speaker8, KUW_2022_Speaker6, KUW_2022_Gunda</v>
      </c>
      <c r="E10" s="17" t="str" cm="1">
        <f t="array" ref="E10">_xlfn.TEXTJOIN(", ", TRUE(), _xlfn._xlws.FILTER(Sbcts_Rcrdngs[Subject],Sbcts_Rcrdngs[Recording]=Rcrdngs[[#This Row],[Text]],"[no subject selected in Subjects_in_Recordings]"))</f>
        <v>Houses</v>
      </c>
      <c r="F10" s="18">
        <v>44701</v>
      </c>
      <c r="G10" s="134" t="s">
        <v>67</v>
      </c>
      <c r="H10" s="49" t="s">
        <v>31</v>
      </c>
      <c r="I10" s="49" t="s">
        <v>46</v>
      </c>
      <c r="J10" s="153" t="s">
        <v>32</v>
      </c>
      <c r="K10" s="153" t="s">
        <v>33</v>
      </c>
      <c r="L10" s="61" t="s">
        <v>34</v>
      </c>
      <c r="M10" s="32" t="s">
        <v>35</v>
      </c>
      <c r="N10" s="32" t="s">
        <v>36</v>
      </c>
      <c r="O10" s="21"/>
      <c r="P10" s="21"/>
      <c r="Q10" s="21"/>
      <c r="R10" s="21"/>
      <c r="S10" s="21"/>
      <c r="T10" s="21"/>
      <c r="U10" s="20" t="s">
        <v>68</v>
      </c>
      <c r="V10" s="22"/>
      <c r="W10" s="23"/>
      <c r="X10" s="24" t="s">
        <v>69</v>
      </c>
      <c r="Y10" s="75" t="s">
        <v>39</v>
      </c>
      <c r="Z10" s="76"/>
      <c r="AA10" s="162" t="s">
        <v>70</v>
      </c>
    </row>
    <row r="11" spans="1:27" ht="15" customHeight="1">
      <c r="A11" s="35" t="s">
        <v>65</v>
      </c>
      <c r="B11" s="35" t="s">
        <v>71</v>
      </c>
      <c r="C11" s="45" t="s">
        <v>66</v>
      </c>
      <c r="D11" s="17" t="str" cm="1">
        <f t="array" ref="D11">_xlfn.TEXTJOIN(", ", TRUE(), _xlfn._xlws.FILTER(Speakers_in_Recordings!$B$2:$B$1502,Speakers_in_Recordings!$A$2:$A$1502=Rcrdngs[[#This Row],[Text]],"[no speaker selected in Speakers_in_Recordings]"))</f>
        <v>KUW_2022_Speaker8, KUW_2022_Gunda</v>
      </c>
      <c r="E11" s="17" t="str" cm="1">
        <f t="array" ref="E11">_xlfn.TEXTJOIN(", ", TRUE(), _xlfn._xlws.FILTER(Sbcts_Rcrdngs[Subject],Sbcts_Rcrdngs[Recording]=Rcrdngs[[#This Row],[Text]],"[no subject selected in Subjects_in_Recordings]"))</f>
        <v>Education</v>
      </c>
      <c r="F11" s="18">
        <v>44701</v>
      </c>
      <c r="G11" s="134" t="s">
        <v>72</v>
      </c>
      <c r="H11" s="49" t="s">
        <v>31</v>
      </c>
      <c r="I11" s="49" t="s">
        <v>46</v>
      </c>
      <c r="J11" s="153" t="s">
        <v>32</v>
      </c>
      <c r="K11" s="153" t="s">
        <v>33</v>
      </c>
      <c r="L11" s="61" t="s">
        <v>34</v>
      </c>
      <c r="M11" s="32" t="s">
        <v>35</v>
      </c>
      <c r="N11" s="32" t="s">
        <v>36</v>
      </c>
      <c r="O11" s="21"/>
      <c r="P11" s="21"/>
      <c r="Q11" s="21"/>
      <c r="R11" s="21"/>
      <c r="S11" s="21"/>
      <c r="T11" s="21"/>
      <c r="U11" s="20" t="s">
        <v>68</v>
      </c>
      <c r="V11" s="22"/>
      <c r="W11" s="23"/>
      <c r="X11" s="24"/>
      <c r="Y11" s="75" t="s">
        <v>39</v>
      </c>
      <c r="Z11" s="76"/>
      <c r="AA11" s="162" t="s">
        <v>73</v>
      </c>
    </row>
    <row r="12" spans="1:27" ht="15" customHeight="1">
      <c r="A12" s="35" t="s">
        <v>71</v>
      </c>
      <c r="B12" s="35" t="s">
        <v>74</v>
      </c>
      <c r="C12" s="45" t="s">
        <v>66</v>
      </c>
      <c r="D12" s="17" t="str" cm="1">
        <f t="array" ref="D12">_xlfn.TEXTJOIN(", ", TRUE(), _xlfn._xlws.FILTER(Speakers_in_Recordings!$B$2:$B$1502,Speakers_in_Recordings!$A$2:$A$1502=Rcrdngs[[#This Row],[Text]],"[no speaker selected in Speakers_in_Recordings]"))</f>
        <v>KUW_2022_Speaker8, KUW_2022_Gunda</v>
      </c>
      <c r="E12" s="17" t="str" cm="1">
        <f t="array" ref="E12">_xlfn.TEXTJOIN(", ", TRUE(), _xlfn._xlws.FILTER(Sbcts_Rcrdngs[Subject],Sbcts_Rcrdngs[Recording]=Rcrdngs[[#This Row],[Text]],"[no subject selected in Subjects_in_Recordings]"))</f>
        <v>Family</v>
      </c>
      <c r="F12" s="18">
        <v>44701</v>
      </c>
      <c r="G12" s="134" t="s">
        <v>75</v>
      </c>
      <c r="H12" s="49" t="s">
        <v>31</v>
      </c>
      <c r="I12" s="49" t="s">
        <v>46</v>
      </c>
      <c r="J12" s="153" t="s">
        <v>32</v>
      </c>
      <c r="K12" s="153" t="s">
        <v>33</v>
      </c>
      <c r="L12" s="61" t="s">
        <v>34</v>
      </c>
      <c r="M12" s="32" t="s">
        <v>35</v>
      </c>
      <c r="N12" s="32" t="s">
        <v>36</v>
      </c>
      <c r="O12" s="21"/>
      <c r="P12" s="21"/>
      <c r="Q12" s="21"/>
      <c r="R12" s="21"/>
      <c r="S12" s="21"/>
      <c r="T12" s="21"/>
      <c r="U12" s="20" t="s">
        <v>68</v>
      </c>
      <c r="V12" s="22"/>
      <c r="W12" s="23"/>
      <c r="X12" s="24"/>
      <c r="Y12" s="75" t="s">
        <v>39</v>
      </c>
      <c r="Z12" s="76"/>
      <c r="AA12" s="162" t="s">
        <v>76</v>
      </c>
    </row>
    <row r="13" spans="1:27" ht="15" customHeight="1">
      <c r="A13" s="35" t="s">
        <v>74</v>
      </c>
      <c r="B13" s="35" t="s">
        <v>77</v>
      </c>
      <c r="C13" s="45" t="s">
        <v>66</v>
      </c>
      <c r="D13" s="17" t="str" cm="1">
        <f t="array" ref="D13">_xlfn.TEXTJOIN(", ", TRUE(), _xlfn._xlws.FILTER(Speakers_in_Recordings!$B$2:$B$1502,Speakers_in_Recordings!$A$2:$A$1502=Rcrdngs[[#This Row],[Text]],"[no speaker selected in Speakers_in_Recordings]"))</f>
        <v>KUW_2022_Speaker8, KUW_2022_Gunda</v>
      </c>
      <c r="E13" s="17" t="str" cm="1">
        <f t="array" ref="E13">_xlfn.TEXTJOIN(", ", TRUE(), _xlfn._xlws.FILTER(Sbcts_Rcrdngs[Subject],Sbcts_Rcrdngs[Recording]=Rcrdngs[[#This Row],[Text]],"[no subject selected in Subjects_in_Recordings]"))</f>
        <v>Marriage</v>
      </c>
      <c r="F13" s="18">
        <v>44701</v>
      </c>
      <c r="G13" s="134" t="s">
        <v>78</v>
      </c>
      <c r="H13" s="49" t="s">
        <v>31</v>
      </c>
      <c r="I13" s="49" t="s">
        <v>32</v>
      </c>
      <c r="J13" s="153" t="s">
        <v>32</v>
      </c>
      <c r="K13" s="153" t="s">
        <v>33</v>
      </c>
      <c r="L13" s="61" t="s">
        <v>34</v>
      </c>
      <c r="M13" s="32" t="s">
        <v>35</v>
      </c>
      <c r="N13" s="32" t="s">
        <v>36</v>
      </c>
      <c r="O13" s="21"/>
      <c r="P13" s="21"/>
      <c r="Q13" s="21"/>
      <c r="R13" s="21"/>
      <c r="S13" s="21"/>
      <c r="T13" s="21"/>
      <c r="U13" s="20" t="s">
        <v>68</v>
      </c>
      <c r="V13" s="22"/>
      <c r="W13" s="23"/>
      <c r="X13" s="24"/>
      <c r="Y13" s="75" t="s">
        <v>39</v>
      </c>
      <c r="Z13" s="76"/>
      <c r="AA13" s="162" t="s">
        <v>79</v>
      </c>
    </row>
    <row r="14" spans="1:27" ht="15" customHeight="1">
      <c r="A14" s="35" t="s">
        <v>77</v>
      </c>
      <c r="B14" s="35"/>
      <c r="C14" s="45" t="s">
        <v>66</v>
      </c>
      <c r="D14" s="17" t="str" cm="1">
        <f t="array" ref="D14">_xlfn.TEXTJOIN(", ", TRUE(), _xlfn._xlws.FILTER(Speakers_in_Recordings!$B$2:$B$1502,Speakers_in_Recordings!$A$2:$A$1502=Rcrdngs[[#This Row],[Text]],"[no speaker selected in Speakers_in_Recordings]"))</f>
        <v>KUW_2022_Speaker8, KUW_2022_Speaker6, KUW_2022_Gunda</v>
      </c>
      <c r="E14" s="17" t="str" cm="1">
        <f t="array" ref="E14">_xlfn.TEXTJOIN(", ", TRUE(), _xlfn._xlws.FILTER(Sbcts_Rcrdngs[Subject],Sbcts_Rcrdngs[Recording]=Rcrdngs[[#This Row],[Text]],"[no subject selected in Subjects_in_Recordings]"))</f>
        <v>Food recipees, Daily life</v>
      </c>
      <c r="F14" s="18">
        <v>44701</v>
      </c>
      <c r="G14" s="134" t="s">
        <v>80</v>
      </c>
      <c r="H14" s="49" t="s">
        <v>31</v>
      </c>
      <c r="I14" s="49" t="s">
        <v>46</v>
      </c>
      <c r="J14" s="153" t="s">
        <v>32</v>
      </c>
      <c r="K14" s="153" t="s">
        <v>33</v>
      </c>
      <c r="L14" s="61" t="s">
        <v>34</v>
      </c>
      <c r="M14" s="32" t="s">
        <v>35</v>
      </c>
      <c r="N14" s="32" t="s">
        <v>36</v>
      </c>
      <c r="O14" s="21"/>
      <c r="P14" s="21"/>
      <c r="Q14" s="21"/>
      <c r="R14" s="21"/>
      <c r="S14" s="21"/>
      <c r="T14" s="21"/>
      <c r="U14" s="20" t="s">
        <v>68</v>
      </c>
      <c r="V14" s="22"/>
      <c r="W14" s="23"/>
      <c r="X14" s="24"/>
      <c r="Y14" s="75" t="s">
        <v>39</v>
      </c>
      <c r="Z14" s="76"/>
      <c r="AA14" s="162" t="s">
        <v>81</v>
      </c>
    </row>
    <row r="15" spans="1:27" ht="15" customHeight="1">
      <c r="A15" s="103" t="s">
        <v>82</v>
      </c>
      <c r="B15" s="27"/>
      <c r="C15" s="45" t="s">
        <v>66</v>
      </c>
      <c r="D15" s="17" t="str" cm="1">
        <f t="array" ref="D15">_xlfn.TEXTJOIN(", ", TRUE(), _xlfn._xlws.FILTER(Speakers_in_Recordings!$B$2:$B$1502,Speakers_in_Recordings!$A$2:$A$1502=Rcrdngs[[#This Row],[Text]],"[no speaker selected in Speakers_in_Recordings]"))</f>
        <v>KUW_2022_Speaker8, KUW_2022_Gunda</v>
      </c>
      <c r="E15" s="17" t="str" cm="1">
        <f t="array" ref="E15">_xlfn.TEXTJOIN(", ", TRUE(), _xlfn._xlws.FILTER(Sbcts_Rcrdngs[Subject],Sbcts_Rcrdngs[Recording]=Rcrdngs[[#This Row],[Text]],"[no subject selected in Subjects_in_Recordings]"))</f>
        <v>Childhood, Family, Migration and diaspora</v>
      </c>
      <c r="F15" s="18">
        <v>44701</v>
      </c>
      <c r="G15" s="134" t="s">
        <v>83</v>
      </c>
      <c r="H15" s="49" t="s">
        <v>31</v>
      </c>
      <c r="I15" s="49" t="s">
        <v>32</v>
      </c>
      <c r="J15" s="153" t="s">
        <v>32</v>
      </c>
      <c r="K15" s="153"/>
      <c r="L15" s="61" t="s">
        <v>34</v>
      </c>
      <c r="M15" s="32" t="s">
        <v>35</v>
      </c>
      <c r="N15" s="20" t="s">
        <v>36</v>
      </c>
      <c r="O15" s="21"/>
      <c r="P15" s="21"/>
      <c r="Q15" s="21"/>
      <c r="R15" s="21"/>
      <c r="S15" s="21"/>
      <c r="T15" s="21"/>
      <c r="U15" s="20" t="s">
        <v>68</v>
      </c>
      <c r="V15" s="22"/>
      <c r="W15" s="23"/>
      <c r="X15" s="24"/>
      <c r="Y15" s="75" t="s">
        <v>39</v>
      </c>
      <c r="Z15" s="76"/>
      <c r="AA15" s="162" t="s">
        <v>84</v>
      </c>
    </row>
    <row r="16" spans="1:27" ht="15" customHeight="1">
      <c r="A16" s="79" t="s">
        <v>85</v>
      </c>
      <c r="B16" s="27"/>
      <c r="C16" s="45" t="s">
        <v>66</v>
      </c>
      <c r="D16" s="17" t="str" cm="1">
        <f t="array" ref="D16">_xlfn.TEXTJOIN(", ", TRUE(), _xlfn._xlws.FILTER(Speakers_in_Recordings!$B$2:$B$1502,Speakers_in_Recordings!$A$2:$A$1502=Rcrdngs[[#This Row],[Text]],"[no speaker selected in Speakers_in_Recordings]"))</f>
        <v>KUW_2022_Speaker8, KUW_2022_Gunda</v>
      </c>
      <c r="E16" s="17" t="str" cm="1">
        <f t="array" ref="E16">_xlfn.TEXTJOIN(", ", TRUE(), _xlfn._xlws.FILTER(Sbcts_Rcrdngs[Subject],Sbcts_Rcrdngs[Recording]=Rcrdngs[[#This Row],[Text]],"[no subject selected in Subjects_in_Recordings]"))</f>
        <v>Visual elicitation</v>
      </c>
      <c r="F16" s="18">
        <v>44701</v>
      </c>
      <c r="G16" s="134" t="s">
        <v>86</v>
      </c>
      <c r="H16" s="49" t="s">
        <v>31</v>
      </c>
      <c r="I16" s="49" t="s">
        <v>46</v>
      </c>
      <c r="J16" s="153" t="s">
        <v>32</v>
      </c>
      <c r="K16" s="153" t="s">
        <v>33</v>
      </c>
      <c r="L16" s="61" t="s">
        <v>34</v>
      </c>
      <c r="M16" s="32" t="s">
        <v>35</v>
      </c>
      <c r="N16" s="20" t="s">
        <v>36</v>
      </c>
      <c r="O16" s="21"/>
      <c r="P16" s="21"/>
      <c r="Q16" s="21"/>
      <c r="R16" s="21"/>
      <c r="S16" s="21"/>
      <c r="T16" s="21"/>
      <c r="U16" s="20" t="s">
        <v>68</v>
      </c>
      <c r="V16" s="22"/>
      <c r="W16" s="23"/>
      <c r="X16" s="24"/>
      <c r="Y16" s="76" t="s">
        <v>87</v>
      </c>
      <c r="Z16" s="76"/>
      <c r="AA16" s="162" t="s">
        <v>88</v>
      </c>
    </row>
    <row r="17" spans="1:27" ht="15" customHeight="1">
      <c r="A17" s="35" t="s">
        <v>89</v>
      </c>
      <c r="B17" s="27"/>
      <c r="C17" s="45" t="s">
        <v>66</v>
      </c>
      <c r="D17" s="17" t="str" cm="1">
        <f t="array" ref="D17">_xlfn.TEXTJOIN(", ", TRUE(), _xlfn._xlws.FILTER(Speakers_in_Recordings!$B$2:$B$1502,Speakers_in_Recordings!$A$2:$A$1502=Rcrdngs[[#This Row],[Text]],"[no speaker selected in Speakers_in_Recordings]"))</f>
        <v>KUW_2022_Speaker8, KUW_2022_Gunda</v>
      </c>
      <c r="E17" s="17" t="str" cm="1">
        <f t="array" ref="E17">_xlfn.TEXTJOIN(", ", TRUE(), _xlfn._xlws.FILTER(Sbcts_Rcrdngs[Subject],Sbcts_Rcrdngs[Recording]=Rcrdngs[[#This Row],[Text]],"[no subject selected in Subjects_in_Recordings]"))</f>
        <v>Visual elicitation</v>
      </c>
      <c r="F17" s="18">
        <v>44701</v>
      </c>
      <c r="G17" s="134" t="s">
        <v>90</v>
      </c>
      <c r="H17" s="49" t="s">
        <v>31</v>
      </c>
      <c r="I17" s="49" t="s">
        <v>46</v>
      </c>
      <c r="J17" s="153" t="s">
        <v>32</v>
      </c>
      <c r="K17" s="153" t="s">
        <v>33</v>
      </c>
      <c r="L17" s="61" t="s">
        <v>34</v>
      </c>
      <c r="M17" s="32" t="s">
        <v>35</v>
      </c>
      <c r="N17" s="20" t="s">
        <v>36</v>
      </c>
      <c r="O17" s="21"/>
      <c r="P17" s="21"/>
      <c r="Q17" s="21"/>
      <c r="R17" s="21"/>
      <c r="S17" s="21"/>
      <c r="T17" s="21"/>
      <c r="U17" s="20" t="s">
        <v>68</v>
      </c>
      <c r="V17" s="22"/>
      <c r="W17" s="23"/>
      <c r="X17" s="24"/>
      <c r="Y17" s="76" t="s">
        <v>87</v>
      </c>
      <c r="Z17" s="76"/>
      <c r="AA17" s="162" t="s">
        <v>91</v>
      </c>
    </row>
    <row r="18" spans="1:27" ht="15" customHeight="1">
      <c r="A18" s="35" t="s">
        <v>92</v>
      </c>
      <c r="B18" s="27"/>
      <c r="C18" s="45" t="s">
        <v>66</v>
      </c>
      <c r="D18" s="17" t="str" cm="1">
        <f t="array" ref="D18">_xlfn.TEXTJOIN(", ", TRUE(), _xlfn._xlws.FILTER(Speakers_in_Recordings!$B$2:$B$1502,Speakers_in_Recordings!$A$2:$A$1502=Rcrdngs[[#This Row],[Text]],"[no speaker selected in Speakers_in_Recordings]"))</f>
        <v>KUW_2022_Speaker8, KUW_2022_Speaker6, KUW_2022_Gunda</v>
      </c>
      <c r="E18" s="17" t="str" cm="1">
        <f t="array" ref="E18">_xlfn.TEXTJOIN(", ", TRUE(), _xlfn._xlws.FILTER(Sbcts_Rcrdngs[Subject],Sbcts_Rcrdngs[Recording]=Rcrdngs[[#This Row],[Text]],"[no subject selected in Subjects_in_Recordings]"))</f>
        <v>Visual elicitation</v>
      </c>
      <c r="F18" s="18">
        <v>44701</v>
      </c>
      <c r="G18" s="134" t="s">
        <v>93</v>
      </c>
      <c r="H18" s="49" t="s">
        <v>31</v>
      </c>
      <c r="I18" s="49" t="s">
        <v>46</v>
      </c>
      <c r="J18" s="153" t="s">
        <v>32</v>
      </c>
      <c r="K18" s="153" t="s">
        <v>33</v>
      </c>
      <c r="L18" s="61" t="s">
        <v>34</v>
      </c>
      <c r="M18" s="32" t="s">
        <v>35</v>
      </c>
      <c r="N18" s="20" t="s">
        <v>36</v>
      </c>
      <c r="O18" s="21"/>
      <c r="P18" s="21"/>
      <c r="Q18" s="21"/>
      <c r="R18" s="21"/>
      <c r="S18" s="21"/>
      <c r="T18" s="21"/>
      <c r="U18" s="20" t="s">
        <v>68</v>
      </c>
      <c r="V18" s="22"/>
      <c r="W18" s="23"/>
      <c r="X18" s="24"/>
      <c r="Y18" s="76" t="s">
        <v>87</v>
      </c>
      <c r="Z18" s="76"/>
      <c r="AA18" s="162" t="s">
        <v>94</v>
      </c>
    </row>
    <row r="19" spans="1:27" ht="15" customHeight="1">
      <c r="A19" s="35" t="s">
        <v>95</v>
      </c>
      <c r="B19" s="27"/>
      <c r="C19" s="45" t="s">
        <v>66</v>
      </c>
      <c r="D19" s="17" t="str" cm="1">
        <f t="array" ref="D19">_xlfn.TEXTJOIN(", ", TRUE(), _xlfn._xlws.FILTER(Speakers_in_Recordings!$B$2:$B$1502,Speakers_in_Recordings!$A$2:$A$1502=Rcrdngs[[#This Row],[Text]],"[no speaker selected in Speakers_in_Recordings]"))</f>
        <v>KUW_2022_Speaker8, KUW_2022_Speaker6, KUW_2022_Gunda</v>
      </c>
      <c r="E19" s="17" t="str" cm="1">
        <f t="array" ref="E19">_xlfn.TEXTJOIN(", ", TRUE(), _xlfn._xlws.FILTER(Sbcts_Rcrdngs[Subject],Sbcts_Rcrdngs[Recording]=Rcrdngs[[#This Row],[Text]],"[no subject selected in Subjects_in_Recordings]"))</f>
        <v>Coffee</v>
      </c>
      <c r="F19" s="18">
        <v>44701</v>
      </c>
      <c r="G19" s="134" t="s">
        <v>96</v>
      </c>
      <c r="H19" s="49" t="s">
        <v>31</v>
      </c>
      <c r="I19" s="49" t="s">
        <v>46</v>
      </c>
      <c r="J19" s="153" t="s">
        <v>32</v>
      </c>
      <c r="K19" s="153" t="s">
        <v>33</v>
      </c>
      <c r="L19" s="61" t="s">
        <v>34</v>
      </c>
      <c r="M19" s="32" t="s">
        <v>35</v>
      </c>
      <c r="N19" s="20" t="s">
        <v>36</v>
      </c>
      <c r="O19" s="21"/>
      <c r="P19" s="21"/>
      <c r="Q19" s="21"/>
      <c r="R19" s="21"/>
      <c r="S19" s="21"/>
      <c r="T19" s="21"/>
      <c r="U19" s="20" t="s">
        <v>68</v>
      </c>
      <c r="V19" s="22"/>
      <c r="W19" s="23"/>
      <c r="X19" s="24"/>
      <c r="Y19" s="76" t="s">
        <v>39</v>
      </c>
      <c r="Z19" s="76"/>
      <c r="AA19" s="162" t="s">
        <v>97</v>
      </c>
    </row>
    <row r="20" spans="1:27" ht="15" customHeight="1">
      <c r="A20" s="35" t="s">
        <v>98</v>
      </c>
      <c r="B20" s="27"/>
      <c r="C20" s="45" t="s">
        <v>66</v>
      </c>
      <c r="D20" s="17" t="str" cm="1">
        <f t="array" ref="D20">_xlfn.TEXTJOIN(", ", TRUE(), _xlfn._xlws.FILTER(Speakers_in_Recordings!$B$2:$B$1502,Speakers_in_Recordings!$A$2:$A$1502=Rcrdngs[[#This Row],[Text]],"[no speaker selected in Speakers_in_Recordings]"))</f>
        <v>KUW_2022_Speaker8, KUW_2022_Speaker6, KUW_2022_Gunda</v>
      </c>
      <c r="E20" s="17" t="str" cm="1">
        <f t="array" ref="E20">_xlfn.TEXTJOIN(", ", TRUE(), _xlfn._xlws.FILTER(Sbcts_Rcrdngs[Subject],Sbcts_Rcrdngs[Recording]=Rcrdngs[[#This Row],[Text]],"[no subject selected in Subjects_in_Recordings]"))</f>
        <v>Food recipees</v>
      </c>
      <c r="F20" s="18">
        <v>44701</v>
      </c>
      <c r="G20" s="134" t="s">
        <v>99</v>
      </c>
      <c r="H20" s="49" t="s">
        <v>31</v>
      </c>
      <c r="I20" s="49" t="s">
        <v>46</v>
      </c>
      <c r="J20" s="153" t="s">
        <v>32</v>
      </c>
      <c r="K20" s="153" t="s">
        <v>33</v>
      </c>
      <c r="L20" s="61" t="s">
        <v>34</v>
      </c>
      <c r="M20" s="32" t="s">
        <v>35</v>
      </c>
      <c r="N20" s="20" t="s">
        <v>36</v>
      </c>
      <c r="O20" s="21"/>
      <c r="P20" s="21"/>
      <c r="Q20" s="21"/>
      <c r="R20" s="21"/>
      <c r="S20" s="21"/>
      <c r="T20" s="21"/>
      <c r="U20" s="20" t="s">
        <v>68</v>
      </c>
      <c r="V20" s="22"/>
      <c r="W20" s="23"/>
      <c r="X20" s="24"/>
      <c r="Y20" s="76" t="s">
        <v>39</v>
      </c>
      <c r="Z20" s="76"/>
      <c r="AA20" s="162" t="s">
        <v>100</v>
      </c>
    </row>
    <row r="21" spans="1:27" ht="15" customHeight="1">
      <c r="A21" s="35" t="s">
        <v>101</v>
      </c>
      <c r="B21" s="27"/>
      <c r="C21" s="45" t="s">
        <v>66</v>
      </c>
      <c r="D21" s="17" t="str" cm="1">
        <f t="array" ref="D21">_xlfn.TEXTJOIN(", ", TRUE(), _xlfn._xlws.FILTER(Speakers_in_Recordings!$B$2:$B$1502,Speakers_in_Recordings!$A$2:$A$1502=Rcrdngs[[#This Row],[Text]],"[no speaker selected in Speakers_in_Recordings]"))</f>
        <v>KUW_2022_Speaker8, KUW_2022_Speaker6, KUW_2022_Gunda</v>
      </c>
      <c r="E21" s="17" t="str" cm="1">
        <f t="array" ref="E21">_xlfn.TEXTJOIN(", ", TRUE(), _xlfn._xlws.FILTER(Sbcts_Rcrdngs[Subject],Sbcts_Rcrdngs[Recording]=Rcrdngs[[#This Row],[Text]],"[no subject selected in Subjects_in_Recordings]"))</f>
        <v>Food recipees, Markets and food prices</v>
      </c>
      <c r="F21" s="18">
        <v>44701</v>
      </c>
      <c r="G21" s="134" t="s">
        <v>93</v>
      </c>
      <c r="H21" s="49" t="s">
        <v>31</v>
      </c>
      <c r="I21" s="49" t="s">
        <v>46</v>
      </c>
      <c r="J21" s="153" t="s">
        <v>32</v>
      </c>
      <c r="K21" s="153" t="s">
        <v>33</v>
      </c>
      <c r="L21" s="61" t="s">
        <v>34</v>
      </c>
      <c r="M21" s="32" t="s">
        <v>35</v>
      </c>
      <c r="N21" s="20" t="s">
        <v>36</v>
      </c>
      <c r="O21" s="21"/>
      <c r="P21" s="21"/>
      <c r="Q21" s="21"/>
      <c r="R21" s="21"/>
      <c r="S21" s="21"/>
      <c r="T21" s="21"/>
      <c r="U21" s="20" t="s">
        <v>68</v>
      </c>
      <c r="V21" s="22"/>
      <c r="W21" s="23"/>
      <c r="X21" s="24"/>
      <c r="Y21" s="76" t="s">
        <v>39</v>
      </c>
      <c r="Z21" s="76"/>
      <c r="AA21" s="162" t="s">
        <v>102</v>
      </c>
    </row>
    <row r="22" spans="1:27" ht="15" customHeight="1">
      <c r="A22" s="96" t="s">
        <v>103</v>
      </c>
      <c r="B22" s="96" t="s">
        <v>104</v>
      </c>
      <c r="C22" s="36" t="s">
        <v>29</v>
      </c>
      <c r="D22" s="17" t="str" cm="1">
        <f t="array" ref="D22">_xlfn.TEXTJOIN(", ", TRUE(), _xlfn._xlws.FILTER(Speakers_in_Recordings!$B$2:$B$1502,Speakers_in_Recordings!$A$2:$A$1502=Rcrdngs[[#This Row],[Text]],"[no speaker selected in Speakers_in_Recordings]"))</f>
        <v>SAU_2022_Speaker14, SAU_2022_Gunda, SAU_2022_SpeakerUnknown</v>
      </c>
      <c r="E22" s="17" t="str" cm="1">
        <f t="array" ref="E22">_xlfn.TEXTJOIN(", ", TRUE(), _xlfn._xlws.FILTER(Sbcts_Rcrdngs[Subject],Sbcts_Rcrdngs[Recording]=Rcrdngs[[#This Row],[Text]],"[no subject selected in Subjects_in_Recordings]"))</f>
        <v>Houses, Education</v>
      </c>
      <c r="F22" s="38">
        <v>44638</v>
      </c>
      <c r="G22" s="135" t="s">
        <v>105</v>
      </c>
      <c r="H22" s="49" t="s">
        <v>31</v>
      </c>
      <c r="I22" s="49" t="s">
        <v>32</v>
      </c>
      <c r="J22" s="153" t="s">
        <v>32</v>
      </c>
      <c r="K22" s="153" t="s">
        <v>33</v>
      </c>
      <c r="L22" s="39" t="s">
        <v>34</v>
      </c>
      <c r="M22" s="32" t="s">
        <v>35</v>
      </c>
      <c r="N22" s="40" t="s">
        <v>36</v>
      </c>
      <c r="O22" s="41"/>
      <c r="P22" s="41"/>
      <c r="Q22" s="41"/>
      <c r="R22" s="42"/>
      <c r="S22" s="42"/>
      <c r="T22" s="42"/>
      <c r="U22" s="43" t="s">
        <v>62</v>
      </c>
      <c r="V22" s="22"/>
      <c r="W22" s="22"/>
      <c r="X22" s="44" t="s">
        <v>106</v>
      </c>
      <c r="Y22" s="76" t="s">
        <v>39</v>
      </c>
      <c r="Z22" s="76"/>
      <c r="AA22" s="162" t="s">
        <v>107</v>
      </c>
    </row>
    <row r="23" spans="1:27" ht="15" customHeight="1">
      <c r="A23" s="27" t="s">
        <v>104</v>
      </c>
      <c r="B23" s="27"/>
      <c r="C23" s="28" t="s">
        <v>29</v>
      </c>
      <c r="D23" s="17" t="str" cm="1">
        <f t="array" ref="D23">_xlfn.TEXTJOIN(", ", TRUE(), _xlfn._xlws.FILTER(Speakers_in_Recordings!$B$2:$B$1502,Speakers_in_Recordings!$A$2:$A$1502=Rcrdngs[[#This Row],[Text]],"[no speaker selected in Speakers_in_Recordings]"))</f>
        <v>SAU_2022_Speaker14, SAU_2022_SpeakerUnknown, SAU_2022_Gunda</v>
      </c>
      <c r="E23" s="17" t="str" cm="1">
        <f t="array" ref="E23">_xlfn.TEXTJOIN(", ", TRUE(), _xlfn._xlws.FILTER(Sbcts_Rcrdngs[Subject],Sbcts_Rcrdngs[Recording]=Rcrdngs[[#This Row],[Text]],"[no subject selected in Subjects_in_Recordings]"))</f>
        <v>Education</v>
      </c>
      <c r="F23" s="29">
        <v>44638</v>
      </c>
      <c r="G23" s="133" t="s">
        <v>108</v>
      </c>
      <c r="H23" s="49" t="s">
        <v>31</v>
      </c>
      <c r="I23" s="49" t="s">
        <v>32</v>
      </c>
      <c r="J23" s="153" t="s">
        <v>32</v>
      </c>
      <c r="K23" s="153" t="s">
        <v>33</v>
      </c>
      <c r="L23" s="31" t="s">
        <v>34</v>
      </c>
      <c r="M23" s="20" t="s">
        <v>35</v>
      </c>
      <c r="N23" s="20" t="s">
        <v>36</v>
      </c>
      <c r="O23" s="33"/>
      <c r="P23" s="33"/>
      <c r="Q23" s="33"/>
      <c r="R23" s="33"/>
      <c r="S23" s="33"/>
      <c r="T23" s="33"/>
      <c r="U23" s="32" t="s">
        <v>62</v>
      </c>
      <c r="V23" s="22"/>
      <c r="W23" s="23"/>
      <c r="X23" s="34" t="s">
        <v>109</v>
      </c>
      <c r="Y23" s="76" t="s">
        <v>39</v>
      </c>
      <c r="Z23" s="76"/>
      <c r="AA23" s="162" t="s">
        <v>110</v>
      </c>
    </row>
    <row r="24" spans="1:27" ht="15" customHeight="1">
      <c r="A24" s="27" t="s">
        <v>111</v>
      </c>
      <c r="B24" s="27"/>
      <c r="C24" s="28" t="s">
        <v>29</v>
      </c>
      <c r="D24" s="17" t="str" cm="1">
        <f t="array" ref="D24">_xlfn.TEXTJOIN(", ", TRUE(), _xlfn._xlws.FILTER(Speakers_in_Recordings!$B$2:$B$1502,Speakers_in_Recordings!$A$2:$A$1502=Rcrdngs[[#This Row],[Text]],"[no speaker selected in Speakers_in_Recordings]"))</f>
        <v>SAU_2022_Speaker14, SAU_2022_Gunda</v>
      </c>
      <c r="E24" s="17" t="str" cm="1">
        <f t="array" ref="E24">_xlfn.TEXTJOIN(", ", TRUE(), _xlfn._xlws.FILTER(Sbcts_Rcrdngs[Subject],Sbcts_Rcrdngs[Recording]=Rcrdngs[[#This Row],[Text]],"[no subject selected in Subjects_in_Recordings]"))</f>
        <v>Childhood</v>
      </c>
      <c r="F24" s="29">
        <v>44638</v>
      </c>
      <c r="G24" s="133" t="s">
        <v>112</v>
      </c>
      <c r="H24" s="49" t="s">
        <v>31</v>
      </c>
      <c r="I24" s="49" t="s">
        <v>32</v>
      </c>
      <c r="J24" s="153" t="s">
        <v>32</v>
      </c>
      <c r="K24" s="153" t="s">
        <v>33</v>
      </c>
      <c r="L24" s="31" t="s">
        <v>34</v>
      </c>
      <c r="M24" s="20" t="s">
        <v>35</v>
      </c>
      <c r="N24" s="20" t="s">
        <v>36</v>
      </c>
      <c r="O24" s="33"/>
      <c r="P24" s="33"/>
      <c r="Q24" s="33"/>
      <c r="R24" s="33"/>
      <c r="S24" s="33"/>
      <c r="T24" s="33"/>
      <c r="U24" s="32" t="s">
        <v>62</v>
      </c>
      <c r="V24" s="22"/>
      <c r="W24" s="23"/>
      <c r="X24" s="34"/>
      <c r="Y24" s="76" t="s">
        <v>39</v>
      </c>
      <c r="Z24" s="76"/>
      <c r="AA24" s="162" t="s">
        <v>113</v>
      </c>
    </row>
    <row r="25" spans="1:27" ht="15" customHeight="1">
      <c r="A25" s="27" t="s">
        <v>114</v>
      </c>
      <c r="B25" s="27"/>
      <c r="C25" s="28" t="s">
        <v>29</v>
      </c>
      <c r="D25" s="17" t="str" cm="1">
        <f t="array" ref="D25">_xlfn.TEXTJOIN(", ", TRUE(), _xlfn._xlws.FILTER(Speakers_in_Recordings!$B$2:$B$1502,Speakers_in_Recordings!$A$2:$A$1502=Rcrdngs[[#This Row],[Text]],"[no speaker selected in Speakers_in_Recordings]"))</f>
        <v>SAU_2022_Speaker14, SAU_2022_SpeakerUnknown, SAU_2022_Gunda</v>
      </c>
      <c r="E25" s="17" t="str" cm="1">
        <f t="array" ref="E25">_xlfn.TEXTJOIN(", ", TRUE(), _xlfn._xlws.FILTER(Sbcts_Rcrdngs[Subject],Sbcts_Rcrdngs[Recording]=Rcrdngs[[#This Row],[Text]],"[no subject selected in Subjects_in_Recordings]"))</f>
        <v>Marriage</v>
      </c>
      <c r="F25" s="29">
        <v>44638</v>
      </c>
      <c r="G25" s="133" t="s">
        <v>115</v>
      </c>
      <c r="H25" s="49" t="s">
        <v>31</v>
      </c>
      <c r="I25" s="49" t="s">
        <v>32</v>
      </c>
      <c r="J25" s="153" t="s">
        <v>32</v>
      </c>
      <c r="K25" s="153" t="s">
        <v>33</v>
      </c>
      <c r="L25" s="31" t="s">
        <v>34</v>
      </c>
      <c r="M25" s="20" t="s">
        <v>35</v>
      </c>
      <c r="N25" s="20" t="s">
        <v>36</v>
      </c>
      <c r="O25" s="33"/>
      <c r="P25" s="33"/>
      <c r="Q25" s="33"/>
      <c r="R25" s="33"/>
      <c r="S25" s="33"/>
      <c r="T25" s="33"/>
      <c r="U25" s="32" t="s">
        <v>62</v>
      </c>
      <c r="V25" s="22"/>
      <c r="W25" s="23"/>
      <c r="X25" s="34"/>
      <c r="Y25" s="76" t="s">
        <v>39</v>
      </c>
      <c r="Z25" s="76"/>
      <c r="AA25" s="162" t="s">
        <v>116</v>
      </c>
    </row>
    <row r="26" spans="1:27" ht="15" customHeight="1">
      <c r="A26" s="27" t="s">
        <v>117</v>
      </c>
      <c r="B26" s="27" t="s">
        <v>114</v>
      </c>
      <c r="C26" s="28" t="s">
        <v>29</v>
      </c>
      <c r="D26" s="17" t="str" cm="1">
        <f t="array" ref="D26">_xlfn.TEXTJOIN(", ", TRUE(), _xlfn._xlws.FILTER(Speakers_in_Recordings!$B$2:$B$1502,Speakers_in_Recordings!$A$2:$A$1502=Rcrdngs[[#This Row],[Text]],"[no speaker selected in Speakers_in_Recordings]"))</f>
        <v>SAU_2022_Speaker14, SAU_2022_SpeakerUnknown, SAU_2022_Gunda</v>
      </c>
      <c r="E26" s="17" t="str" cm="1">
        <f t="array" ref="E26">_xlfn.TEXTJOIN(", ", TRUE(), _xlfn._xlws.FILTER(Sbcts_Rcrdngs[Subject],Sbcts_Rcrdngs[Recording]=Rcrdngs[[#This Row],[Text]],"[no subject selected in Subjects_in_Recordings]"))</f>
        <v>Marriage</v>
      </c>
      <c r="F26" s="29">
        <v>44638</v>
      </c>
      <c r="G26" s="133" t="s">
        <v>49</v>
      </c>
      <c r="H26" s="49" t="s">
        <v>31</v>
      </c>
      <c r="I26" s="49" t="s">
        <v>32</v>
      </c>
      <c r="J26" s="153" t="s">
        <v>32</v>
      </c>
      <c r="K26" s="153" t="s">
        <v>33</v>
      </c>
      <c r="L26" s="31" t="s">
        <v>34</v>
      </c>
      <c r="M26" s="20" t="s">
        <v>35</v>
      </c>
      <c r="N26" s="20" t="s">
        <v>36</v>
      </c>
      <c r="O26" s="33"/>
      <c r="P26" s="33"/>
      <c r="Q26" s="33"/>
      <c r="R26" s="33"/>
      <c r="S26" s="33"/>
      <c r="T26" s="33"/>
      <c r="U26" s="32" t="s">
        <v>62</v>
      </c>
      <c r="V26" s="22"/>
      <c r="W26" s="23"/>
      <c r="X26" s="34" t="s">
        <v>118</v>
      </c>
      <c r="Y26" s="76" t="s">
        <v>39</v>
      </c>
      <c r="Z26" s="76"/>
      <c r="AA26" s="162" t="s">
        <v>119</v>
      </c>
    </row>
    <row r="27" spans="1:27" ht="15" customHeight="1">
      <c r="A27" s="27" t="s">
        <v>120</v>
      </c>
      <c r="B27" s="27" t="s">
        <v>121</v>
      </c>
      <c r="C27" s="28" t="s">
        <v>66</v>
      </c>
      <c r="D27" s="17" t="str" cm="1">
        <f t="array" ref="D27">_xlfn.TEXTJOIN(", ", TRUE(), _xlfn._xlws.FILTER(Speakers_in_Recordings!$B$2:$B$1502,Speakers_in_Recordings!$A$2:$A$1502=Rcrdngs[[#This Row],[Text]],"[no speaker selected in Speakers_in_Recordings]"))</f>
        <v>KUW_2022_Speaker12, KUW_2022_Speaker16, KUW_2022_Gunda</v>
      </c>
      <c r="E27" s="17" t="str" cm="1">
        <f t="array" ref="E27">_xlfn.TEXTJOIN(", ", TRUE(), _xlfn._xlws.FILTER(Sbcts_Rcrdngs[Subject],Sbcts_Rcrdngs[Recording]=Rcrdngs[[#This Row],[Text]],"[no subject selected in Subjects_in_Recordings]"))</f>
        <v>Childhood</v>
      </c>
      <c r="F27" s="29">
        <v>44702</v>
      </c>
      <c r="G27" s="133" t="s">
        <v>122</v>
      </c>
      <c r="H27" s="49" t="s">
        <v>31</v>
      </c>
      <c r="I27" s="49" t="s">
        <v>46</v>
      </c>
      <c r="J27" s="153" t="s">
        <v>32</v>
      </c>
      <c r="K27" s="153" t="s">
        <v>33</v>
      </c>
      <c r="L27" s="31" t="s">
        <v>34</v>
      </c>
      <c r="M27" s="20" t="s">
        <v>35</v>
      </c>
      <c r="N27" s="20" t="s">
        <v>36</v>
      </c>
      <c r="O27" s="33"/>
      <c r="P27" s="33"/>
      <c r="Q27" s="33"/>
      <c r="R27" s="33"/>
      <c r="S27" s="33"/>
      <c r="T27" s="33"/>
      <c r="U27" s="32" t="s">
        <v>68</v>
      </c>
      <c r="V27" s="22"/>
      <c r="W27" s="23"/>
      <c r="X27" s="34"/>
      <c r="Y27" s="76" t="s">
        <v>39</v>
      </c>
      <c r="Z27" s="76"/>
      <c r="AA27" s="162" t="s">
        <v>123</v>
      </c>
    </row>
    <row r="28" spans="1:27" ht="15" customHeight="1">
      <c r="A28" s="27" t="s">
        <v>121</v>
      </c>
      <c r="B28" s="27" t="s">
        <v>124</v>
      </c>
      <c r="C28" s="28" t="s">
        <v>66</v>
      </c>
      <c r="D28" s="17" t="str" cm="1">
        <f t="array" ref="D28">_xlfn.TEXTJOIN(", ", TRUE(), _xlfn._xlws.FILTER(Speakers_in_Recordings!$B$2:$B$1502,Speakers_in_Recordings!$A$2:$A$1502=Rcrdngs[[#This Row],[Text]],"[no speaker selected in Speakers_in_Recordings]"))</f>
        <v>KUW_2022_Speaker12, KUW_2022_Speaker16, KUW_2022_Gunda</v>
      </c>
      <c r="E28" s="17" t="str" cm="1">
        <f t="array" ref="E28">_xlfn.TEXTJOIN(", ", TRUE(), _xlfn._xlws.FILTER(Sbcts_Rcrdngs[Subject],Sbcts_Rcrdngs[Recording]=Rcrdngs[[#This Row],[Text]],"[no subject selected in Subjects_in_Recordings]"))</f>
        <v>Childhood</v>
      </c>
      <c r="F28" s="29">
        <v>44702</v>
      </c>
      <c r="G28" s="133" t="s">
        <v>122</v>
      </c>
      <c r="H28" s="49" t="s">
        <v>31</v>
      </c>
      <c r="I28" s="49" t="s">
        <v>46</v>
      </c>
      <c r="J28" s="153" t="s">
        <v>32</v>
      </c>
      <c r="K28" s="153" t="s">
        <v>33</v>
      </c>
      <c r="L28" s="31" t="s">
        <v>34</v>
      </c>
      <c r="M28" s="20" t="s">
        <v>35</v>
      </c>
      <c r="N28" s="20" t="s">
        <v>36</v>
      </c>
      <c r="O28" s="33"/>
      <c r="P28" s="33"/>
      <c r="Q28" s="33"/>
      <c r="R28" s="33"/>
      <c r="S28" s="33"/>
      <c r="T28" s="33"/>
      <c r="U28" s="32" t="s">
        <v>68</v>
      </c>
      <c r="V28" s="22"/>
      <c r="W28" s="23"/>
      <c r="X28" s="34"/>
      <c r="Y28" s="76" t="s">
        <v>39</v>
      </c>
      <c r="Z28" s="76"/>
      <c r="AA28" s="162" t="s">
        <v>125</v>
      </c>
    </row>
    <row r="29" spans="1:27" ht="15" customHeight="1">
      <c r="A29" s="35" t="s">
        <v>124</v>
      </c>
      <c r="B29" s="27"/>
      <c r="C29" s="28" t="s">
        <v>66</v>
      </c>
      <c r="D29" s="17" t="str" cm="1">
        <f t="array" ref="D29">_xlfn.TEXTJOIN(", ", TRUE(), _xlfn._xlws.FILTER(Speakers_in_Recordings!$B$2:$B$1502,Speakers_in_Recordings!$A$2:$A$1502=Rcrdngs[[#This Row],[Text]],"[no speaker selected in Speakers_in_Recordings]"))</f>
        <v>KUW_2022_Speaker12, KUW_2022_Speaker16, KUW_2022_Gunda</v>
      </c>
      <c r="E29" s="17" t="str" cm="1">
        <f t="array" ref="E29">_xlfn.TEXTJOIN(", ", TRUE(), _xlfn._xlws.FILTER(Sbcts_Rcrdngs[Subject],Sbcts_Rcrdngs[Recording]=Rcrdngs[[#This Row],[Text]],"[no subject selected in Subjects_in_Recordings]"))</f>
        <v>Childhood</v>
      </c>
      <c r="F29" s="18">
        <v>44702</v>
      </c>
      <c r="G29" s="134" t="s">
        <v>115</v>
      </c>
      <c r="H29" s="49" t="s">
        <v>31</v>
      </c>
      <c r="I29" s="49" t="s">
        <v>46</v>
      </c>
      <c r="J29" s="153" t="s">
        <v>32</v>
      </c>
      <c r="K29" s="153" t="s">
        <v>33</v>
      </c>
      <c r="L29" s="31" t="s">
        <v>34</v>
      </c>
      <c r="M29" s="20" t="s">
        <v>35</v>
      </c>
      <c r="N29" s="20" t="s">
        <v>36</v>
      </c>
      <c r="O29" s="21"/>
      <c r="P29" s="21"/>
      <c r="Q29" s="21"/>
      <c r="R29" s="21"/>
      <c r="S29" s="21"/>
      <c r="T29" s="21"/>
      <c r="U29" s="32" t="s">
        <v>68</v>
      </c>
      <c r="V29" s="22"/>
      <c r="W29" s="23"/>
      <c r="X29" s="24"/>
      <c r="Y29" s="76" t="s">
        <v>39</v>
      </c>
      <c r="Z29" s="76"/>
      <c r="AA29" s="162" t="s">
        <v>126</v>
      </c>
    </row>
    <row r="30" spans="1:27" ht="15" customHeight="1">
      <c r="A30" s="35" t="s">
        <v>127</v>
      </c>
      <c r="B30" s="27"/>
      <c r="C30" s="28" t="s">
        <v>66</v>
      </c>
      <c r="D30" s="17" t="str" cm="1">
        <f t="array" ref="D30">_xlfn.TEXTJOIN(", ", TRUE(), _xlfn._xlws.FILTER(Speakers_in_Recordings!$B$2:$B$1502,Speakers_in_Recordings!$A$2:$A$1502=Rcrdngs[[#This Row],[Text]],"[no speaker selected in Speakers_in_Recordings]"))</f>
        <v>KUW_2022_Speaker12, KUW_2022_Speaker16, KUW_2022_Gunda</v>
      </c>
      <c r="E30" s="17" t="str" cm="1">
        <f t="array" ref="E30">_xlfn.TEXTJOIN(", ", TRUE(), _xlfn._xlws.FILTER(Sbcts_Rcrdngs[Subject],Sbcts_Rcrdngs[Recording]=Rcrdngs[[#This Row],[Text]],"[no subject selected in Subjects_in_Recordings]"))</f>
        <v>Childhood</v>
      </c>
      <c r="F30" s="18">
        <v>44702</v>
      </c>
      <c r="G30" s="134" t="s">
        <v>128</v>
      </c>
      <c r="H30" s="49" t="s">
        <v>31</v>
      </c>
      <c r="I30" s="49" t="s">
        <v>46</v>
      </c>
      <c r="J30" s="153" t="s">
        <v>32</v>
      </c>
      <c r="K30" s="153" t="s">
        <v>33</v>
      </c>
      <c r="L30" s="31" t="s">
        <v>34</v>
      </c>
      <c r="M30" s="20" t="s">
        <v>35</v>
      </c>
      <c r="N30" s="20" t="s">
        <v>36</v>
      </c>
      <c r="O30" s="21"/>
      <c r="P30" s="21"/>
      <c r="Q30" s="21"/>
      <c r="R30" s="21"/>
      <c r="S30" s="21"/>
      <c r="T30" s="21"/>
      <c r="U30" s="32" t="s">
        <v>68</v>
      </c>
      <c r="V30" s="22"/>
      <c r="W30" s="23"/>
      <c r="X30" s="24"/>
      <c r="Y30" s="76" t="s">
        <v>39</v>
      </c>
      <c r="Z30" s="76"/>
      <c r="AA30" s="162" t="s">
        <v>129</v>
      </c>
    </row>
    <row r="31" spans="1:27" ht="15" customHeight="1">
      <c r="A31" s="35" t="s">
        <v>130</v>
      </c>
      <c r="B31" s="27"/>
      <c r="C31" s="28" t="s">
        <v>66</v>
      </c>
      <c r="D31" s="17" t="str" cm="1">
        <f t="array" ref="D31">_xlfn.TEXTJOIN(", ", TRUE(), _xlfn._xlws.FILTER(Speakers_in_Recordings!$B$2:$B$1502,Speakers_in_Recordings!$A$2:$A$1502=Rcrdngs[[#This Row],[Text]],"[no speaker selected in Speakers_in_Recordings]"))</f>
        <v>KUW_2022_Speaker12, KUW_2022_Speaker16, KUW_2022_Speaker17</v>
      </c>
      <c r="E31" s="17" t="str" cm="1">
        <f t="array" ref="E31">_xlfn.TEXTJOIN(", ", TRUE(), _xlfn._xlws.FILTER(Sbcts_Rcrdngs[Subject],Sbcts_Rcrdngs[Recording]=Rcrdngs[[#This Row],[Text]],"[no subject selected in Subjects_in_Recordings]"))</f>
        <v>Childhood</v>
      </c>
      <c r="F31" s="18">
        <v>44702</v>
      </c>
      <c r="G31" s="134" t="s">
        <v>131</v>
      </c>
      <c r="H31" s="49" t="s">
        <v>31</v>
      </c>
      <c r="I31" s="49" t="s">
        <v>32</v>
      </c>
      <c r="J31" s="153" t="s">
        <v>32</v>
      </c>
      <c r="K31" s="153"/>
      <c r="L31" s="31" t="s">
        <v>34</v>
      </c>
      <c r="M31" s="20" t="s">
        <v>35</v>
      </c>
      <c r="N31" s="20" t="s">
        <v>36</v>
      </c>
      <c r="O31" s="21"/>
      <c r="P31" s="21"/>
      <c r="Q31" s="21"/>
      <c r="R31" s="21"/>
      <c r="S31" s="21"/>
      <c r="T31" s="21"/>
      <c r="U31" s="32" t="s">
        <v>68</v>
      </c>
      <c r="V31" s="22"/>
      <c r="W31" s="23"/>
      <c r="X31" s="24"/>
      <c r="Y31" s="76" t="s">
        <v>39</v>
      </c>
      <c r="Z31" s="76"/>
      <c r="AA31" s="162" t="s">
        <v>132</v>
      </c>
    </row>
    <row r="32" spans="1:27" ht="15" customHeight="1">
      <c r="A32" s="27" t="s">
        <v>133</v>
      </c>
      <c r="B32" s="27" t="s">
        <v>134</v>
      </c>
      <c r="C32" s="28" t="s">
        <v>29</v>
      </c>
      <c r="D32" s="17" t="str" cm="1">
        <f t="array" ref="D32">_xlfn.TEXTJOIN(", ", TRUE(), _xlfn._xlws.FILTER(Speakers_in_Recordings!$B$2:$B$1502,Speakers_in_Recordings!$A$2:$A$1502=Rcrdngs[[#This Row],[Text]],"[no speaker selected in Speakers_in_Recordings]"))</f>
        <v>SAU_2022_Speaker14, SAU_2022_Gunda</v>
      </c>
      <c r="E32" s="17" t="str" cm="1">
        <f t="array" ref="E32">_xlfn.TEXTJOIN(", ", TRUE(), _xlfn._xlws.FILTER(Sbcts_Rcrdngs[Subject],Sbcts_Rcrdngs[Recording]=Rcrdngs[[#This Row],[Text]],"[no subject selected in Subjects_in_Recordings]"))</f>
        <v>Education, Childhood</v>
      </c>
      <c r="F32" s="29">
        <v>44638</v>
      </c>
      <c r="G32" s="133" t="s">
        <v>135</v>
      </c>
      <c r="H32" s="49" t="s">
        <v>31</v>
      </c>
      <c r="I32" s="49" t="s">
        <v>32</v>
      </c>
      <c r="J32" s="153" t="s">
        <v>32</v>
      </c>
      <c r="K32" s="153" t="s">
        <v>33</v>
      </c>
      <c r="L32" s="31" t="s">
        <v>34</v>
      </c>
      <c r="M32" s="20" t="s">
        <v>35</v>
      </c>
      <c r="N32" s="20" t="s">
        <v>36</v>
      </c>
      <c r="O32" s="33"/>
      <c r="P32" s="33"/>
      <c r="Q32" s="33"/>
      <c r="R32" s="33"/>
      <c r="S32" s="33"/>
      <c r="T32" s="33"/>
      <c r="U32" s="32" t="s">
        <v>62</v>
      </c>
      <c r="V32" s="22"/>
      <c r="W32" s="23"/>
      <c r="X32" s="34"/>
      <c r="Y32" s="76" t="s">
        <v>39</v>
      </c>
      <c r="Z32" s="76"/>
      <c r="AA32" s="162" t="s">
        <v>136</v>
      </c>
    </row>
    <row r="33" spans="1:27" ht="15" customHeight="1">
      <c r="A33" s="27" t="s">
        <v>134</v>
      </c>
      <c r="B33" s="27" t="s">
        <v>137</v>
      </c>
      <c r="C33" s="28" t="s">
        <v>29</v>
      </c>
      <c r="D33" s="17" t="str" cm="1">
        <f t="array" ref="D33">_xlfn.TEXTJOIN(", ", TRUE(), _xlfn._xlws.FILTER(Speakers_in_Recordings!$B$2:$B$1502,Speakers_in_Recordings!$A$2:$A$1502=Rcrdngs[[#This Row],[Text]],"[no speaker selected in Speakers_in_Recordings]"))</f>
        <v>SAU_2022_Speaker14, SAU_2022_Gunda</v>
      </c>
      <c r="E33" s="17" t="str" cm="1">
        <f t="array" ref="E33">_xlfn.TEXTJOIN(", ", TRUE(), _xlfn._xlws.FILTER(Sbcts_Rcrdngs[Subject],Sbcts_Rcrdngs[Recording]=Rcrdngs[[#This Row],[Text]],"[no subject selected in Subjects_in_Recordings]"))</f>
        <v>Education, Childhood</v>
      </c>
      <c r="F33" s="29">
        <v>44638</v>
      </c>
      <c r="G33" s="133" t="s">
        <v>138</v>
      </c>
      <c r="H33" s="49" t="s">
        <v>31</v>
      </c>
      <c r="I33" s="49" t="s">
        <v>32</v>
      </c>
      <c r="J33" s="153" t="s">
        <v>32</v>
      </c>
      <c r="K33" s="153" t="s">
        <v>33</v>
      </c>
      <c r="L33" s="31" t="s">
        <v>34</v>
      </c>
      <c r="M33" s="20" t="s">
        <v>35</v>
      </c>
      <c r="N33" s="20" t="s">
        <v>36</v>
      </c>
      <c r="O33" s="33"/>
      <c r="P33" s="33"/>
      <c r="Q33" s="33"/>
      <c r="R33" s="33"/>
      <c r="S33" s="33"/>
      <c r="T33" s="33"/>
      <c r="U33" s="32" t="s">
        <v>62</v>
      </c>
      <c r="V33" s="22"/>
      <c r="W33" s="23"/>
      <c r="X33" s="34"/>
      <c r="Y33" s="76" t="s">
        <v>39</v>
      </c>
      <c r="Z33" s="76"/>
      <c r="AA33" s="162" t="s">
        <v>139</v>
      </c>
    </row>
    <row r="34" spans="1:27" ht="15" customHeight="1">
      <c r="A34" s="27" t="s">
        <v>137</v>
      </c>
      <c r="B34" s="27"/>
      <c r="C34" s="28" t="s">
        <v>29</v>
      </c>
      <c r="D34" s="17" t="str" cm="1">
        <f t="array" ref="D34">_xlfn.TEXTJOIN(", ", TRUE(), _xlfn._xlws.FILTER(Speakers_in_Recordings!$B$2:$B$1502,Speakers_in_Recordings!$A$2:$A$1502=Rcrdngs[[#This Row],[Text]],"[no speaker selected in Speakers_in_Recordings]"))</f>
        <v>SAU_2022_Speaker14, SAU_2022_Gunda</v>
      </c>
      <c r="E34" s="17" t="str" cm="1">
        <f t="array" ref="E34">_xlfn.TEXTJOIN(", ", TRUE(), _xlfn._xlws.FILTER(Sbcts_Rcrdngs[Subject],Sbcts_Rcrdngs[Recording]=Rcrdngs[[#This Row],[Text]],"[no subject selected in Subjects_in_Recordings]"))</f>
        <v>Education, Childhood, Driving</v>
      </c>
      <c r="F34" s="29">
        <v>44638</v>
      </c>
      <c r="G34" s="133" t="s">
        <v>140</v>
      </c>
      <c r="H34" s="49" t="s">
        <v>31</v>
      </c>
      <c r="I34" s="49" t="s">
        <v>32</v>
      </c>
      <c r="J34" s="153" t="s">
        <v>32</v>
      </c>
      <c r="K34" s="153" t="s">
        <v>33</v>
      </c>
      <c r="L34" s="31" t="s">
        <v>34</v>
      </c>
      <c r="M34" s="20" t="s">
        <v>35</v>
      </c>
      <c r="N34" s="20" t="s">
        <v>36</v>
      </c>
      <c r="O34" s="33"/>
      <c r="P34" s="33"/>
      <c r="Q34" s="33"/>
      <c r="R34" s="33"/>
      <c r="S34" s="33"/>
      <c r="T34" s="33"/>
      <c r="U34" s="32" t="s">
        <v>62</v>
      </c>
      <c r="V34" s="22"/>
      <c r="W34" s="23"/>
      <c r="X34" s="34"/>
      <c r="Y34" s="76" t="s">
        <v>39</v>
      </c>
      <c r="Z34" s="76"/>
      <c r="AA34" s="162" t="s">
        <v>141</v>
      </c>
    </row>
    <row r="35" spans="1:27" ht="15" customHeight="1">
      <c r="A35" s="35" t="s">
        <v>142</v>
      </c>
      <c r="B35" s="35"/>
      <c r="C35" s="45" t="s">
        <v>29</v>
      </c>
      <c r="D35" s="17" t="str" cm="1">
        <f t="array" ref="D35">_xlfn.TEXTJOIN(", ", TRUE(), _xlfn._xlws.FILTER(Speakers_in_Recordings!$B$2:$B$1502,Speakers_in_Recordings!$A$2:$A$1502=Rcrdngs[[#This Row],[Text]],"[no speaker selected in Speakers_in_Recordings]"))</f>
        <v>SAU_2022_Speaker19, SAU_2022_UnknownMarketSeller, SAU_2022_Gunda</v>
      </c>
      <c r="E35" s="17" t="str" cm="1">
        <f t="array" ref="E35">_xlfn.TEXTJOIN(", ", TRUE(), _xlfn._xlws.FILTER(Sbcts_Rcrdngs[Subject],Sbcts_Rcrdngs[Recording]=Rcrdngs[[#This Row],[Text]],"[no subject selected in Subjects_in_Recordings]"))</f>
        <v>Markets and food prices</v>
      </c>
      <c r="F35" s="18">
        <v>44638</v>
      </c>
      <c r="G35" s="134" t="s">
        <v>143</v>
      </c>
      <c r="H35" s="49" t="s">
        <v>31</v>
      </c>
      <c r="I35" s="49" t="s">
        <v>46</v>
      </c>
      <c r="J35" s="153" t="s">
        <v>32</v>
      </c>
      <c r="K35" s="153" t="s">
        <v>33</v>
      </c>
      <c r="L35" s="61" t="s">
        <v>34</v>
      </c>
      <c r="M35" s="20" t="s">
        <v>35</v>
      </c>
      <c r="N35" s="20" t="s">
        <v>36</v>
      </c>
      <c r="O35" s="21"/>
      <c r="P35" s="21"/>
      <c r="Q35" s="21"/>
      <c r="R35" s="21"/>
      <c r="S35" s="21"/>
      <c r="T35" s="21"/>
      <c r="U35" s="32" t="s">
        <v>62</v>
      </c>
      <c r="V35" s="22"/>
      <c r="W35" s="23"/>
      <c r="X35" s="24"/>
      <c r="Y35" s="76" t="s">
        <v>39</v>
      </c>
      <c r="Z35" s="76"/>
      <c r="AA35" s="162" t="s">
        <v>144</v>
      </c>
    </row>
    <row r="36" spans="1:27" ht="15" customHeight="1">
      <c r="A36" s="35" t="s">
        <v>145</v>
      </c>
      <c r="B36" s="27"/>
      <c r="C36" s="45" t="s">
        <v>29</v>
      </c>
      <c r="D36" s="17" t="str" cm="1">
        <f t="array" ref="D36">_xlfn.TEXTJOIN(", ", TRUE(), _xlfn._xlws.FILTER(Speakers_in_Recordings!$B$2:$B$1502,Speakers_in_Recordings!$A$2:$A$1502=Rcrdngs[[#This Row],[Text]],"[no speaker selected in Speakers_in_Recordings]"))</f>
        <v>SAU_2022_Gunda, SAU_2022_Speaker9, SAU_2022_Speaker47, SAU_2022_DaughterofSheikh2, SAU_2022_Speaker34</v>
      </c>
      <c r="E36" s="17" t="str" cm="1">
        <f t="array" ref="E36">_xlfn.TEXTJOIN(", ", TRUE(), _xlfn._xlws.FILTER(Sbcts_Rcrdngs[Subject],Sbcts_Rcrdngs[Recording]=Rcrdngs[[#This Row],[Text]],"[no subject selected in Subjects_in_Recordings]"))</f>
        <v>Childhood, Pets</v>
      </c>
      <c r="F36" s="18">
        <v>44633</v>
      </c>
      <c r="G36" s="134" t="s">
        <v>146</v>
      </c>
      <c r="H36" s="49" t="s">
        <v>31</v>
      </c>
      <c r="I36" s="49" t="s">
        <v>32</v>
      </c>
      <c r="J36" s="153" t="s">
        <v>32</v>
      </c>
      <c r="K36" s="153" t="s">
        <v>33</v>
      </c>
      <c r="L36" s="61" t="s">
        <v>34</v>
      </c>
      <c r="M36" s="20" t="s">
        <v>35</v>
      </c>
      <c r="N36" s="20" t="s">
        <v>36</v>
      </c>
      <c r="O36" s="21"/>
      <c r="P36" s="21"/>
      <c r="Q36" s="21"/>
      <c r="R36" s="21"/>
      <c r="S36" s="21"/>
      <c r="T36" s="21"/>
      <c r="U36" s="20" t="s">
        <v>37</v>
      </c>
      <c r="V36" s="22"/>
      <c r="W36" s="23"/>
      <c r="X36" s="24"/>
      <c r="Y36" s="76" t="s">
        <v>39</v>
      </c>
      <c r="Z36" s="76"/>
      <c r="AA36" s="162" t="s">
        <v>147</v>
      </c>
    </row>
    <row r="37" spans="1:27" ht="15" customHeight="1">
      <c r="A37" s="35" t="s">
        <v>148</v>
      </c>
      <c r="B37" s="27" t="s">
        <v>149</v>
      </c>
      <c r="C37" s="45" t="s">
        <v>29</v>
      </c>
      <c r="D37" s="17" t="str" cm="1">
        <f t="array" ref="D37">_xlfn.TEXTJOIN(", ", TRUE(), _xlfn._xlws.FILTER(Speakers_in_Recordings!$B$2:$B$1502,Speakers_in_Recordings!$A$2:$A$1502=Rcrdngs[[#This Row],[Text]],"[no speaker selected in Speakers_in_Recordings]"))</f>
        <v>SAU_2022_Speaker37, SAU_2022_Speaker23, SAU_2022_Gunda</v>
      </c>
      <c r="E37" s="17" t="str" cm="1">
        <f t="array" ref="E37">_xlfn.TEXTJOIN(", ", TRUE(), _xlfn._xlws.FILTER(Sbcts_Rcrdngs[Subject],Sbcts_Rcrdngs[Recording]=Rcrdngs[[#This Row],[Text]],"[no subject selected in Subjects_in_Recordings]"))</f>
        <v>Childhood</v>
      </c>
      <c r="F37" s="18">
        <v>44637</v>
      </c>
      <c r="G37" s="134" t="s">
        <v>150</v>
      </c>
      <c r="H37" s="49" t="s">
        <v>31</v>
      </c>
      <c r="I37" s="49" t="s">
        <v>32</v>
      </c>
      <c r="J37" s="153" t="s">
        <v>32</v>
      </c>
      <c r="K37" s="153" t="s">
        <v>33</v>
      </c>
      <c r="L37" s="61" t="s">
        <v>34</v>
      </c>
      <c r="M37" s="20" t="s">
        <v>35</v>
      </c>
      <c r="N37" s="20" t="s">
        <v>36</v>
      </c>
      <c r="O37" s="21"/>
      <c r="P37" s="21"/>
      <c r="Q37" s="21"/>
      <c r="R37" s="21"/>
      <c r="S37" s="21"/>
      <c r="T37" s="21"/>
      <c r="U37" s="32" t="s">
        <v>62</v>
      </c>
      <c r="V37" s="22"/>
      <c r="W37" s="23"/>
      <c r="X37" s="24"/>
      <c r="Y37" s="76" t="s">
        <v>39</v>
      </c>
      <c r="Z37" s="76"/>
      <c r="AA37" s="162" t="s">
        <v>151</v>
      </c>
    </row>
    <row r="38" spans="1:27" ht="15" customHeight="1">
      <c r="A38" s="35" t="s">
        <v>149</v>
      </c>
      <c r="B38" s="27"/>
      <c r="C38" s="45" t="s">
        <v>29</v>
      </c>
      <c r="D38" s="17" t="str" cm="1">
        <f t="array" ref="D38">_xlfn.TEXTJOIN(", ", TRUE(), _xlfn._xlws.FILTER(Speakers_in_Recordings!$B$2:$B$1502,Speakers_in_Recordings!$A$2:$A$1502=Rcrdngs[[#This Row],[Text]],"[no speaker selected in Speakers_in_Recordings]"))</f>
        <v>SAU_2022_Speaker37, SAU_2022_Speaker23, SAU_2022_Gunda</v>
      </c>
      <c r="E38" s="17" t="str" cm="1">
        <f t="array" ref="E38">_xlfn.TEXTJOIN(", ", TRUE(), _xlfn._xlws.FILTER(Sbcts_Rcrdngs[Subject],Sbcts_Rcrdngs[Recording]=Rcrdngs[[#This Row],[Text]],"[no subject selected in Subjects_in_Recordings]"))</f>
        <v>Marriage</v>
      </c>
      <c r="F38" s="18">
        <v>44637</v>
      </c>
      <c r="G38" s="134" t="s">
        <v>150</v>
      </c>
      <c r="H38" s="49" t="s">
        <v>31</v>
      </c>
      <c r="I38" s="49" t="s">
        <v>32</v>
      </c>
      <c r="J38" s="153" t="s">
        <v>32</v>
      </c>
      <c r="K38" s="153" t="s">
        <v>33</v>
      </c>
      <c r="L38" s="61" t="s">
        <v>34</v>
      </c>
      <c r="M38" s="20" t="s">
        <v>35</v>
      </c>
      <c r="N38" s="20" t="s">
        <v>36</v>
      </c>
      <c r="O38" s="21"/>
      <c r="P38" s="21"/>
      <c r="Q38" s="21"/>
      <c r="R38" s="21"/>
      <c r="S38" s="21"/>
      <c r="T38" s="21"/>
      <c r="U38" s="32" t="s">
        <v>62</v>
      </c>
      <c r="V38" s="22"/>
      <c r="W38" s="23"/>
      <c r="X38" s="24"/>
      <c r="Y38" s="76" t="s">
        <v>39</v>
      </c>
      <c r="Z38" s="76"/>
      <c r="AA38" s="162" t="s">
        <v>152</v>
      </c>
    </row>
    <row r="39" spans="1:27" ht="15" customHeight="1">
      <c r="A39" s="35" t="s">
        <v>153</v>
      </c>
      <c r="B39" s="27"/>
      <c r="C39" s="45" t="s">
        <v>29</v>
      </c>
      <c r="D39" s="17" t="str" cm="1">
        <f t="array" ref="D39">_xlfn.TEXTJOIN(", ", TRUE(), _xlfn._xlws.FILTER(Speakers_in_Recordings!$B$2:$B$1502,Speakers_in_Recordings!$A$2:$A$1502=Rcrdngs[[#This Row],[Text]],"[no speaker selected in Speakers_in_Recordings]"))</f>
        <v>SAU_2022_Speaker37, SAU_2022_Speaker23, SAU_2022_Gunda</v>
      </c>
      <c r="E39" s="17" t="str" cm="1">
        <f t="array" ref="E39">_xlfn.TEXTJOIN(", ", TRUE(), _xlfn._xlws.FILTER(Sbcts_Rcrdngs[Subject],Sbcts_Rcrdngs[Recording]=Rcrdngs[[#This Row],[Text]],"[no subject selected in Subjects_in_Recordings]"))</f>
        <v>Herding</v>
      </c>
      <c r="F39" s="18">
        <v>44637</v>
      </c>
      <c r="G39" s="134" t="s">
        <v>154</v>
      </c>
      <c r="H39" s="49" t="s">
        <v>31</v>
      </c>
      <c r="I39" s="49" t="s">
        <v>32</v>
      </c>
      <c r="J39" s="153" t="s">
        <v>32</v>
      </c>
      <c r="K39" s="153" t="s">
        <v>33</v>
      </c>
      <c r="L39" s="61" t="s">
        <v>34</v>
      </c>
      <c r="M39" s="20" t="s">
        <v>35</v>
      </c>
      <c r="N39" s="20" t="s">
        <v>36</v>
      </c>
      <c r="O39" s="21"/>
      <c r="P39" s="21"/>
      <c r="Q39" s="21"/>
      <c r="R39" s="21"/>
      <c r="S39" s="21"/>
      <c r="T39" s="21"/>
      <c r="U39" s="32" t="s">
        <v>62</v>
      </c>
      <c r="V39" s="22"/>
      <c r="W39" s="23"/>
      <c r="X39" s="24"/>
      <c r="Y39" s="76" t="s">
        <v>39</v>
      </c>
      <c r="Z39" s="76"/>
      <c r="AA39" s="162" t="s">
        <v>155</v>
      </c>
    </row>
    <row r="40" spans="1:27" ht="15" customHeight="1">
      <c r="A40" s="35" t="s">
        <v>156</v>
      </c>
      <c r="B40" s="27" t="s">
        <v>157</v>
      </c>
      <c r="C40" s="45" t="s">
        <v>29</v>
      </c>
      <c r="D40" s="17" t="str" cm="1">
        <f t="array" ref="D40">_xlfn.TEXTJOIN(", ", TRUE(), _xlfn._xlws.FILTER(Speakers_in_Recordings!$B$2:$B$1502,Speakers_in_Recordings!$A$2:$A$1502=Rcrdngs[[#This Row],[Text]],"[no speaker selected in Speakers_in_Recordings]"))</f>
        <v>SAU_2022_Speaker37, SAU_2022_Speaker23, SAU_2022_Gunda</v>
      </c>
      <c r="E40" s="17" t="str" cm="1">
        <f t="array" ref="E40">_xlfn.TEXTJOIN(", ", TRUE(), _xlfn._xlws.FILTER(Sbcts_Rcrdngs[Subject],Sbcts_Rcrdngs[Recording]=Rcrdngs[[#This Row],[Text]],"[no subject selected in Subjects_in_Recordings]"))</f>
        <v>Concept of 3eyb and Haram</v>
      </c>
      <c r="F40" s="18">
        <v>44637</v>
      </c>
      <c r="G40" s="134" t="s">
        <v>158</v>
      </c>
      <c r="H40" s="49" t="s">
        <v>31</v>
      </c>
      <c r="I40" s="49" t="s">
        <v>32</v>
      </c>
      <c r="J40" s="153" t="s">
        <v>32</v>
      </c>
      <c r="K40" s="153" t="s">
        <v>33</v>
      </c>
      <c r="L40" s="61" t="s">
        <v>34</v>
      </c>
      <c r="M40" s="20" t="s">
        <v>35</v>
      </c>
      <c r="N40" s="20" t="s">
        <v>36</v>
      </c>
      <c r="O40" s="21"/>
      <c r="P40" s="21"/>
      <c r="Q40" s="21"/>
      <c r="R40" s="21"/>
      <c r="S40" s="21"/>
      <c r="T40" s="21"/>
      <c r="U40" s="32" t="s">
        <v>62</v>
      </c>
      <c r="V40" s="22"/>
      <c r="W40" s="23"/>
      <c r="X40" s="24"/>
      <c r="Y40" s="76" t="s">
        <v>39</v>
      </c>
      <c r="Z40" s="76"/>
      <c r="AA40" s="162" t="s">
        <v>159</v>
      </c>
    </row>
    <row r="41" spans="1:27" ht="15" customHeight="1">
      <c r="A41" s="35" t="s">
        <v>160</v>
      </c>
      <c r="B41" s="27"/>
      <c r="C41" s="45" t="s">
        <v>29</v>
      </c>
      <c r="D41" s="17" t="str" cm="1">
        <f t="array" ref="D41">_xlfn.TEXTJOIN(", ", TRUE(), _xlfn._xlws.FILTER(Speakers_in_Recordings!$B$2:$B$1502,Speakers_in_Recordings!$A$2:$A$1502=Rcrdngs[[#This Row],[Text]],"[no speaker selected in Speakers_in_Recordings]"))</f>
        <v>SAU_2022_Speaker37, SAU_2022_Speaker23, SAU_2022_Gunda</v>
      </c>
      <c r="E41" s="17" t="str" cm="1">
        <f t="array" ref="E41">_xlfn.TEXTJOIN(", ", TRUE(), _xlfn._xlws.FILTER(Sbcts_Rcrdngs[Subject],Sbcts_Rcrdngs[Recording]=Rcrdngs[[#This Row],[Text]],"[no subject selected in Subjects_in_Recordings]"))</f>
        <v>Concept of 3eyb and Haram</v>
      </c>
      <c r="F41" s="18">
        <v>44637</v>
      </c>
      <c r="G41" s="134" t="s">
        <v>161</v>
      </c>
      <c r="H41" s="49" t="s">
        <v>31</v>
      </c>
      <c r="I41" s="49" t="s">
        <v>32</v>
      </c>
      <c r="J41" s="153" t="s">
        <v>32</v>
      </c>
      <c r="K41" s="153" t="s">
        <v>33</v>
      </c>
      <c r="L41" s="61" t="s">
        <v>34</v>
      </c>
      <c r="M41" s="20" t="s">
        <v>35</v>
      </c>
      <c r="N41" s="20" t="s">
        <v>36</v>
      </c>
      <c r="O41" s="21"/>
      <c r="P41" s="21"/>
      <c r="Q41" s="21"/>
      <c r="R41" s="21"/>
      <c r="S41" s="21"/>
      <c r="T41" s="21"/>
      <c r="U41" s="32" t="s">
        <v>62</v>
      </c>
      <c r="V41" s="22"/>
      <c r="W41" s="23"/>
      <c r="X41" s="24"/>
      <c r="Y41" s="76" t="s">
        <v>39</v>
      </c>
      <c r="Z41" s="76"/>
      <c r="AA41" s="162" t="s">
        <v>162</v>
      </c>
    </row>
    <row r="42" spans="1:27" ht="15" customHeight="1">
      <c r="A42" s="35" t="s">
        <v>163</v>
      </c>
      <c r="B42" s="27"/>
      <c r="C42" s="45" t="s">
        <v>29</v>
      </c>
      <c r="D42" s="17" t="str" cm="1">
        <f t="array" ref="D42">_xlfn.TEXTJOIN(", ", TRUE(), _xlfn._xlws.FILTER(Speakers_in_Recordings!$B$2:$B$1502,Speakers_in_Recordings!$A$2:$A$1502=Rcrdngs[[#This Row],[Text]],"[no speaker selected in Speakers_in_Recordings]"))</f>
        <v>SAU_2022_Speaker37, SAU_2022_Speaker23, SAU_2022_Gunda</v>
      </c>
      <c r="E42" s="17" t="str" cm="1">
        <f t="array" ref="E42">_xlfn.TEXTJOIN(", ", TRUE(), _xlfn._xlws.FILTER(Sbcts_Rcrdngs[Subject],Sbcts_Rcrdngs[Recording]=Rcrdngs[[#This Row],[Text]],"[no subject selected in Subjects_in_Recordings]"))</f>
        <v>Henna</v>
      </c>
      <c r="F42" s="18">
        <v>44637</v>
      </c>
      <c r="G42" s="134" t="s">
        <v>164</v>
      </c>
      <c r="H42" s="49" t="s">
        <v>31</v>
      </c>
      <c r="I42" s="49" t="s">
        <v>32</v>
      </c>
      <c r="J42" s="153" t="s">
        <v>32</v>
      </c>
      <c r="K42" s="153" t="s">
        <v>33</v>
      </c>
      <c r="L42" s="61" t="s">
        <v>34</v>
      </c>
      <c r="M42" s="20" t="s">
        <v>35</v>
      </c>
      <c r="N42" s="20" t="s">
        <v>36</v>
      </c>
      <c r="O42" s="21"/>
      <c r="P42" s="21"/>
      <c r="Q42" s="21"/>
      <c r="R42" s="21"/>
      <c r="S42" s="21"/>
      <c r="T42" s="21"/>
      <c r="U42" s="32" t="s">
        <v>62</v>
      </c>
      <c r="V42" s="22"/>
      <c r="W42" s="23"/>
      <c r="X42" s="24"/>
      <c r="Y42" s="76" t="s">
        <v>39</v>
      </c>
      <c r="Z42" s="76"/>
      <c r="AA42" s="162" t="s">
        <v>165</v>
      </c>
    </row>
    <row r="43" spans="1:27" ht="15" customHeight="1">
      <c r="A43" s="35" t="s">
        <v>166</v>
      </c>
      <c r="B43" s="27"/>
      <c r="C43" s="45" t="s">
        <v>29</v>
      </c>
      <c r="D43" s="17" t="str" cm="1">
        <f t="array" ref="D43">_xlfn.TEXTJOIN(", ", TRUE(), _xlfn._xlws.FILTER(Speakers_in_Recordings!$B$2:$B$1502,Speakers_in_Recordings!$A$2:$A$1502=Rcrdngs[[#This Row],[Text]],"[no speaker selected in Speakers_in_Recordings]"))</f>
        <v>SAU_2022_Gunda, SAU_2022_Speaker14, SAU_2022_Speaker16, SAU_2022_Weaver1</v>
      </c>
      <c r="E43" s="17" t="str" cm="1">
        <f t="array" ref="E43">_xlfn.TEXTJOIN(", ", TRUE(), _xlfn._xlws.FILTER(Sbcts_Rcrdngs[Subject],Sbcts_Rcrdngs[Recording]=Rcrdngs[[#This Row],[Text]],"[no subject selected in Subjects_in_Recordings]"))</f>
        <v>Weaving</v>
      </c>
      <c r="F43" s="18">
        <v>44636</v>
      </c>
      <c r="G43" s="134" t="s">
        <v>93</v>
      </c>
      <c r="H43" s="49" t="s">
        <v>31</v>
      </c>
      <c r="I43" s="49" t="s">
        <v>32</v>
      </c>
      <c r="J43" s="153" t="s">
        <v>32</v>
      </c>
      <c r="K43" s="153" t="s">
        <v>33</v>
      </c>
      <c r="L43" s="61" t="s">
        <v>34</v>
      </c>
      <c r="M43" s="20" t="s">
        <v>35</v>
      </c>
      <c r="N43" s="20" t="s">
        <v>36</v>
      </c>
      <c r="O43" s="21"/>
      <c r="P43" s="21"/>
      <c r="Q43" s="21"/>
      <c r="R43" s="21"/>
      <c r="S43" s="21"/>
      <c r="T43" s="21"/>
      <c r="U43" s="20" t="s">
        <v>62</v>
      </c>
      <c r="V43" s="22"/>
      <c r="W43" s="23"/>
      <c r="X43" s="24"/>
      <c r="Y43" s="76" t="s">
        <v>39</v>
      </c>
      <c r="Z43" s="76"/>
      <c r="AA43" s="162" t="s">
        <v>167</v>
      </c>
    </row>
    <row r="44" spans="1:27" ht="15" customHeight="1">
      <c r="A44" s="35" t="s">
        <v>168</v>
      </c>
      <c r="B44" s="27"/>
      <c r="C44" s="45" t="s">
        <v>29</v>
      </c>
      <c r="D44" s="17" t="str" cm="1">
        <f t="array" ref="D44">_xlfn.TEXTJOIN(", ", TRUE(), _xlfn._xlws.FILTER(Speakers_in_Recordings!$B$2:$B$1502,Speakers_in_Recordings!$A$2:$A$1502=Rcrdngs[[#This Row],[Text]],"[no speaker selected in Speakers_in_Recordings]"))</f>
        <v>SAU_2022_Gunda, SAU_2022_Speaker14, SAU_2022_Speaker16, SAU_2022_Weaver1, SAU_2022_Weaver2</v>
      </c>
      <c r="E44" s="17" t="str" cm="1">
        <f t="array" ref="E44">_xlfn.TEXTJOIN(", ", TRUE(), _xlfn._xlws.FILTER(Sbcts_Rcrdngs[Subject],Sbcts_Rcrdngs[Recording]=Rcrdngs[[#This Row],[Text]],"[no subject selected in Subjects_in_Recordings]"))</f>
        <v>Marriage, Tribal Traditions</v>
      </c>
      <c r="F44" s="18">
        <v>44636</v>
      </c>
      <c r="G44" s="134" t="s">
        <v>169</v>
      </c>
      <c r="H44" s="49" t="s">
        <v>31</v>
      </c>
      <c r="I44" s="49" t="s">
        <v>32</v>
      </c>
      <c r="J44" s="153" t="s">
        <v>32</v>
      </c>
      <c r="K44" s="153" t="s">
        <v>33</v>
      </c>
      <c r="L44" s="61" t="s">
        <v>34</v>
      </c>
      <c r="M44" s="20" t="s">
        <v>35</v>
      </c>
      <c r="N44" s="20" t="s">
        <v>36</v>
      </c>
      <c r="O44" s="21"/>
      <c r="P44" s="21"/>
      <c r="Q44" s="21"/>
      <c r="R44" s="21"/>
      <c r="S44" s="21"/>
      <c r="T44" s="21"/>
      <c r="U44" s="20" t="s">
        <v>62</v>
      </c>
      <c r="V44" s="22"/>
      <c r="W44" s="23"/>
      <c r="X44" s="24"/>
      <c r="Y44" s="76" t="s">
        <v>39</v>
      </c>
      <c r="Z44" s="76"/>
      <c r="AA44" s="162" t="s">
        <v>170</v>
      </c>
    </row>
    <row r="45" spans="1:27" ht="15" customHeight="1">
      <c r="A45" s="35" t="s">
        <v>171</v>
      </c>
      <c r="B45" s="27" t="s">
        <v>172</v>
      </c>
      <c r="C45" s="45" t="s">
        <v>66</v>
      </c>
      <c r="D45" s="17" t="str" cm="1">
        <f t="array" ref="D45">_xlfn.TEXTJOIN(", ", TRUE(), _xlfn._xlws.FILTER(Speakers_in_Recordings!$B$2:$B$1502,Speakers_in_Recordings!$A$2:$A$1502=Rcrdngs[[#This Row],[Text]],"[no speaker selected in Speakers_in_Recordings]"))</f>
        <v>KUW_2022_Speaker10, KUW_2022_UnknownMan1withSpeaker10, KUW_2022_UnknownMan2withSpeaker10, KUW_2022_Gunda</v>
      </c>
      <c r="E45" s="17" t="str" cm="1">
        <f t="array" ref="E45">_xlfn.TEXTJOIN(", ", TRUE(), _xlfn._xlws.FILTER(Sbcts_Rcrdngs[Subject],Sbcts_Rcrdngs[Recording]=Rcrdngs[[#This Row],[Text]],"[no subject selected in Subjects_in_Recordings]"))</f>
        <v>Questionnaire</v>
      </c>
      <c r="F45" s="18">
        <v>44696</v>
      </c>
      <c r="G45" s="175">
        <v>0.72013888888888888</v>
      </c>
      <c r="H45" s="49" t="s">
        <v>31</v>
      </c>
      <c r="I45" s="49" t="s">
        <v>32</v>
      </c>
      <c r="J45" s="153" t="s">
        <v>32</v>
      </c>
      <c r="K45" s="153" t="s">
        <v>33</v>
      </c>
      <c r="L45" s="61" t="s">
        <v>34</v>
      </c>
      <c r="M45" s="20" t="s">
        <v>35</v>
      </c>
      <c r="N45" s="20" t="s">
        <v>36</v>
      </c>
      <c r="O45" s="21"/>
      <c r="P45" s="21"/>
      <c r="Q45" s="21"/>
      <c r="R45" s="21"/>
      <c r="S45" s="21"/>
      <c r="T45" s="21"/>
      <c r="U45" s="20" t="s">
        <v>68</v>
      </c>
      <c r="V45" s="22"/>
      <c r="W45" s="23"/>
      <c r="X45" s="24"/>
      <c r="Y45" s="76" t="s">
        <v>173</v>
      </c>
      <c r="Z45" s="76"/>
      <c r="AA45" s="162" t="s">
        <v>174</v>
      </c>
    </row>
    <row r="46" spans="1:27" ht="15" customHeight="1">
      <c r="A46" s="35" t="s">
        <v>172</v>
      </c>
      <c r="B46" s="27" t="s">
        <v>175</v>
      </c>
      <c r="C46" s="45" t="s">
        <v>66</v>
      </c>
      <c r="D46" s="17" t="str" cm="1">
        <f t="array" ref="D46">_xlfn.TEXTJOIN(", ", TRUE(), _xlfn._xlws.FILTER(Speakers_in_Recordings!$B$2:$B$1502,Speakers_in_Recordings!$A$2:$A$1502=Rcrdngs[[#This Row],[Text]],"[no speaker selected in Speakers_in_Recordings]"))</f>
        <v>KUW_2022_Speaker10, KUW_2022_UnknownMan1withSpeaker10, KUW_2022_UnknownMan2withSpeaker10</v>
      </c>
      <c r="E46" s="17" t="str" cm="1">
        <f t="array" ref="E46">_xlfn.TEXTJOIN(", ", TRUE(), _xlfn._xlws.FILTER(Sbcts_Rcrdngs[Subject],Sbcts_Rcrdngs[Recording]=Rcrdngs[[#This Row],[Text]],"[no subject selected in Subjects_in_Recordings]"))</f>
        <v>Childhood, Marriage, Questionnaire</v>
      </c>
      <c r="F46" s="18">
        <v>44696</v>
      </c>
      <c r="G46" s="176">
        <v>0.57013888888888886</v>
      </c>
      <c r="H46" s="49" t="s">
        <v>31</v>
      </c>
      <c r="I46" s="49" t="s">
        <v>32</v>
      </c>
      <c r="J46" s="153" t="s">
        <v>32</v>
      </c>
      <c r="K46" s="153" t="s">
        <v>33</v>
      </c>
      <c r="L46" s="61" t="s">
        <v>34</v>
      </c>
      <c r="M46" s="20" t="s">
        <v>35</v>
      </c>
      <c r="N46" s="20" t="s">
        <v>36</v>
      </c>
      <c r="O46" s="21"/>
      <c r="P46" s="21"/>
      <c r="Q46" s="21"/>
      <c r="R46" s="21"/>
      <c r="S46" s="21"/>
      <c r="T46" s="21"/>
      <c r="U46" s="20" t="s">
        <v>68</v>
      </c>
      <c r="V46" s="22"/>
      <c r="W46" s="23"/>
      <c r="X46" s="24"/>
      <c r="Y46" s="76" t="s">
        <v>173</v>
      </c>
      <c r="Z46" s="76"/>
      <c r="AA46" s="162" t="s">
        <v>176</v>
      </c>
    </row>
    <row r="47" spans="1:27" ht="15" customHeight="1">
      <c r="A47" s="35" t="s">
        <v>175</v>
      </c>
      <c r="B47" s="27" t="s">
        <v>177</v>
      </c>
      <c r="C47" s="45" t="s">
        <v>66</v>
      </c>
      <c r="D47" s="17" t="str" cm="1">
        <f t="array" ref="D47">_xlfn.TEXTJOIN(", ", TRUE(), _xlfn._xlws.FILTER(Speakers_in_Recordings!$B$2:$B$1502,Speakers_in_Recordings!$A$2:$A$1502=Rcrdngs[[#This Row],[Text]],"[no speaker selected in Speakers_in_Recordings]"))</f>
        <v>KUW_2022_Speaker10, KUW_2022_UnknownMan1withSpeaker10, KUW_2022_UnknownMan2withSpeaker10, KUW_2022_Gunda</v>
      </c>
      <c r="E47" s="17" t="str" cm="1">
        <f t="array" ref="E47">_xlfn.TEXTJOIN(", ", TRUE(), _xlfn._xlws.FILTER(Sbcts_Rcrdngs[Subject],Sbcts_Rcrdngs[Recording]=Rcrdngs[[#This Row],[Text]],"[no subject selected in Subjects_in_Recordings]"))</f>
        <v>Questionnaire</v>
      </c>
      <c r="F47" s="18">
        <v>44696</v>
      </c>
      <c r="G47" s="176">
        <v>0.64583333333333337</v>
      </c>
      <c r="H47" s="49" t="s">
        <v>31</v>
      </c>
      <c r="I47" s="49" t="s">
        <v>32</v>
      </c>
      <c r="J47" s="153" t="s">
        <v>32</v>
      </c>
      <c r="K47" s="153" t="s">
        <v>33</v>
      </c>
      <c r="L47" s="61" t="s">
        <v>34</v>
      </c>
      <c r="M47" s="20" t="s">
        <v>35</v>
      </c>
      <c r="N47" s="20" t="s">
        <v>36</v>
      </c>
      <c r="O47" s="21"/>
      <c r="P47" s="21"/>
      <c r="Q47" s="21"/>
      <c r="R47" s="21"/>
      <c r="S47" s="21"/>
      <c r="T47" s="21"/>
      <c r="U47" s="20" t="s">
        <v>68</v>
      </c>
      <c r="V47" s="22"/>
      <c r="W47" s="23"/>
      <c r="X47" s="24"/>
      <c r="Y47" s="76" t="s">
        <v>173</v>
      </c>
      <c r="Z47" s="76"/>
      <c r="AA47" s="162" t="s">
        <v>178</v>
      </c>
    </row>
    <row r="48" spans="1:27" ht="15" customHeight="1">
      <c r="A48" s="35" t="s">
        <v>177</v>
      </c>
      <c r="B48" s="27"/>
      <c r="C48" s="45" t="s">
        <v>66</v>
      </c>
      <c r="D48" s="17" t="str" cm="1">
        <f t="array" ref="D48">_xlfn.TEXTJOIN(", ", TRUE(), _xlfn._xlws.FILTER(Speakers_in_Recordings!$B$2:$B$1502,Speakers_in_Recordings!$A$2:$A$1502=Rcrdngs[[#This Row],[Text]],"[no speaker selected in Speakers_in_Recordings]"))</f>
        <v>KUW_2022_Speaker10, KUW_2022_UnknownMan1withSpeaker10, KUW_2022_UnknownMan2withSpeaker10</v>
      </c>
      <c r="E48" s="17" t="str" cm="1">
        <f t="array" ref="E48">_xlfn.TEXTJOIN(", ", TRUE(), _xlfn._xlws.FILTER(Sbcts_Rcrdngs[Subject],Sbcts_Rcrdngs[Recording]=Rcrdngs[[#This Row],[Text]],"[no subject selected in Subjects_in_Recordings]"))</f>
        <v>Questionnaire</v>
      </c>
      <c r="F48" s="18">
        <v>44696</v>
      </c>
      <c r="G48" s="177">
        <v>0.85138888888888886</v>
      </c>
      <c r="H48" s="49" t="s">
        <v>31</v>
      </c>
      <c r="I48" s="49" t="s">
        <v>32</v>
      </c>
      <c r="J48" s="153" t="s">
        <v>32</v>
      </c>
      <c r="K48" s="153" t="s">
        <v>33</v>
      </c>
      <c r="L48" s="61" t="s">
        <v>34</v>
      </c>
      <c r="M48" s="20" t="s">
        <v>35</v>
      </c>
      <c r="N48" s="20" t="s">
        <v>36</v>
      </c>
      <c r="O48" s="21"/>
      <c r="P48" s="21"/>
      <c r="Q48" s="21"/>
      <c r="R48" s="21"/>
      <c r="S48" s="21"/>
      <c r="T48" s="21"/>
      <c r="U48" s="20" t="s">
        <v>68</v>
      </c>
      <c r="V48" s="22"/>
      <c r="W48" s="23"/>
      <c r="X48" s="24"/>
      <c r="Y48" s="76" t="s">
        <v>173</v>
      </c>
      <c r="Z48" s="76"/>
      <c r="AA48" s="162" t="s">
        <v>179</v>
      </c>
    </row>
    <row r="49" spans="1:27" ht="15" customHeight="1">
      <c r="A49" s="35" t="s">
        <v>180</v>
      </c>
      <c r="B49" s="27" t="s">
        <v>181</v>
      </c>
      <c r="C49" s="45" t="s">
        <v>66</v>
      </c>
      <c r="D49" s="17" t="str" cm="1">
        <f t="array" ref="D49">_xlfn.TEXTJOIN(", ", TRUE(), _xlfn._xlws.FILTER(Speakers_in_Recordings!$B$2:$B$1502,Speakers_in_Recordings!$A$2:$A$1502=Rcrdngs[[#This Row],[Text]],"[no speaker selected in Speakers_in_Recordings]"))</f>
        <v>KUW_2022_Speaker3, KUW_2022_Speaker6, KUW_2022_Speaker11, KUW_2022_Gunda</v>
      </c>
      <c r="E49" s="17" t="str" cm="1">
        <f t="array" ref="E49">_xlfn.TEXTJOIN(", ", TRUE(), _xlfn._xlws.FILTER(Sbcts_Rcrdngs[Subject],Sbcts_Rcrdngs[Recording]=Rcrdngs[[#This Row],[Text]],"[no subject selected in Subjects_in_Recordings]"))</f>
        <v>Questionnaire</v>
      </c>
      <c r="F49" s="18">
        <v>44691</v>
      </c>
      <c r="G49" s="134" t="s">
        <v>182</v>
      </c>
      <c r="H49" s="49" t="s">
        <v>31</v>
      </c>
      <c r="I49" s="49" t="s">
        <v>46</v>
      </c>
      <c r="J49" s="153" t="s">
        <v>32</v>
      </c>
      <c r="K49" s="153" t="s">
        <v>33</v>
      </c>
      <c r="L49" s="61" t="s">
        <v>34</v>
      </c>
      <c r="M49" s="20" t="s">
        <v>35</v>
      </c>
      <c r="N49" s="20" t="s">
        <v>36</v>
      </c>
      <c r="O49" s="21"/>
      <c r="P49" s="21"/>
      <c r="Q49" s="21"/>
      <c r="R49" s="21"/>
      <c r="S49" s="21"/>
      <c r="T49" s="21"/>
      <c r="U49" s="20" t="s">
        <v>68</v>
      </c>
      <c r="V49" s="22"/>
      <c r="W49" s="23"/>
      <c r="X49" s="24"/>
      <c r="Y49" s="76" t="s">
        <v>173</v>
      </c>
      <c r="Z49" s="76"/>
      <c r="AA49" s="162" t="s">
        <v>183</v>
      </c>
    </row>
    <row r="50" spans="1:27" ht="15" customHeight="1">
      <c r="A50" s="35" t="s">
        <v>181</v>
      </c>
      <c r="B50" s="27" t="s">
        <v>184</v>
      </c>
      <c r="C50" s="45" t="s">
        <v>66</v>
      </c>
      <c r="D50" s="17" t="str" cm="1">
        <f t="array" ref="D50">_xlfn.TEXTJOIN(", ", TRUE(), _xlfn._xlws.FILTER(Speakers_in_Recordings!$B$2:$B$1502,Speakers_in_Recordings!$A$2:$A$1502=Rcrdngs[[#This Row],[Text]],"[no speaker selected in Speakers_in_Recordings]"))</f>
        <v>KUW_2022_Speaker3, KUW_2022_Speaker6, KUW_2022_Gunda</v>
      </c>
      <c r="E50" s="17" t="str" cm="1">
        <f t="array" ref="E50">_xlfn.TEXTJOIN(", ", TRUE(), _xlfn._xlws.FILTER(Sbcts_Rcrdngs[Subject],Sbcts_Rcrdngs[Recording]=Rcrdngs[[#This Row],[Text]],"[no subject selected in Subjects_in_Recordings]"))</f>
        <v>Questionnaire</v>
      </c>
      <c r="F50" s="18">
        <v>44691</v>
      </c>
      <c r="G50" s="134" t="s">
        <v>185</v>
      </c>
      <c r="H50" s="49" t="s">
        <v>31</v>
      </c>
      <c r="I50" s="49" t="s">
        <v>46</v>
      </c>
      <c r="J50" s="153" t="s">
        <v>32</v>
      </c>
      <c r="K50" s="153" t="s">
        <v>33</v>
      </c>
      <c r="L50" s="61" t="s">
        <v>34</v>
      </c>
      <c r="M50" s="20" t="s">
        <v>35</v>
      </c>
      <c r="N50" s="20" t="s">
        <v>36</v>
      </c>
      <c r="O50" s="21"/>
      <c r="P50" s="21"/>
      <c r="Q50" s="21"/>
      <c r="R50" s="21"/>
      <c r="S50" s="21"/>
      <c r="T50" s="21"/>
      <c r="U50" s="20" t="s">
        <v>68</v>
      </c>
      <c r="V50" s="22"/>
      <c r="W50" s="23"/>
      <c r="X50" s="24"/>
      <c r="Y50" s="76" t="s">
        <v>173</v>
      </c>
      <c r="Z50" s="76"/>
      <c r="AA50" s="162" t="s">
        <v>186</v>
      </c>
    </row>
    <row r="51" spans="1:27" ht="15" customHeight="1">
      <c r="A51" s="35" t="s">
        <v>184</v>
      </c>
      <c r="B51" s="27" t="s">
        <v>187</v>
      </c>
      <c r="C51" s="45" t="s">
        <v>66</v>
      </c>
      <c r="D51" s="17" t="str" cm="1">
        <f t="array" ref="D51">_xlfn.TEXTJOIN(", ", TRUE(), _xlfn._xlws.FILTER(Speakers_in_Recordings!$B$2:$B$1502,Speakers_in_Recordings!$A$2:$A$1502=Rcrdngs[[#This Row],[Text]],"[no speaker selected in Speakers_in_Recordings]"))</f>
        <v>KUW_2022_Speaker3, KUW_2022_Speaker6, KUW_2022_Gunda</v>
      </c>
      <c r="E51" s="17" t="str" cm="1">
        <f t="array" ref="E51">_xlfn.TEXTJOIN(", ", TRUE(), _xlfn._xlws.FILTER(Sbcts_Rcrdngs[Subject],Sbcts_Rcrdngs[Recording]=Rcrdngs[[#This Row],[Text]],"[no subject selected in Subjects_in_Recordings]"))</f>
        <v>Questionnaire</v>
      </c>
      <c r="F51" s="18">
        <v>44691</v>
      </c>
      <c r="G51" s="134" t="s">
        <v>188</v>
      </c>
      <c r="H51" s="49" t="s">
        <v>31</v>
      </c>
      <c r="I51" s="49" t="s">
        <v>46</v>
      </c>
      <c r="J51" s="153" t="s">
        <v>32</v>
      </c>
      <c r="K51" s="153" t="s">
        <v>33</v>
      </c>
      <c r="L51" s="61" t="s">
        <v>34</v>
      </c>
      <c r="M51" s="20" t="s">
        <v>35</v>
      </c>
      <c r="N51" s="20" t="s">
        <v>36</v>
      </c>
      <c r="O51" s="21"/>
      <c r="P51" s="21"/>
      <c r="Q51" s="21"/>
      <c r="R51" s="21"/>
      <c r="S51" s="21"/>
      <c r="T51" s="21"/>
      <c r="U51" s="20" t="s">
        <v>68</v>
      </c>
      <c r="V51" s="22"/>
      <c r="W51" s="23"/>
      <c r="X51" s="24"/>
      <c r="Y51" s="76" t="s">
        <v>173</v>
      </c>
      <c r="Z51" s="76"/>
      <c r="AA51" s="162" t="s">
        <v>189</v>
      </c>
    </row>
    <row r="52" spans="1:27" ht="15" customHeight="1">
      <c r="A52" s="35" t="s">
        <v>187</v>
      </c>
      <c r="B52" s="27" t="s">
        <v>190</v>
      </c>
      <c r="C52" s="45" t="s">
        <v>66</v>
      </c>
      <c r="D52" s="17" t="str" cm="1">
        <f t="array" ref="D52">_xlfn.TEXTJOIN(", ", TRUE(), _xlfn._xlws.FILTER(Speakers_in_Recordings!$B$2:$B$1502,Speakers_in_Recordings!$A$2:$A$1502=Rcrdngs[[#This Row],[Text]],"[no speaker selected in Speakers_in_Recordings]"))</f>
        <v>KUW_2022_Speaker3, KUW_2022_Speaker6, KUW_2022_Gunda</v>
      </c>
      <c r="E52" s="17" t="str" cm="1">
        <f t="array" ref="E52">_xlfn.TEXTJOIN(", ", TRUE(), _xlfn._xlws.FILTER(Sbcts_Rcrdngs[Subject],Sbcts_Rcrdngs[Recording]=Rcrdngs[[#This Row],[Text]],"[no subject selected in Subjects_in_Recordings]"))</f>
        <v>Questionnaire</v>
      </c>
      <c r="F52" s="18">
        <v>44691</v>
      </c>
      <c r="G52" s="134" t="s">
        <v>191</v>
      </c>
      <c r="H52" s="49" t="s">
        <v>31</v>
      </c>
      <c r="I52" s="49" t="s">
        <v>46</v>
      </c>
      <c r="J52" s="153" t="s">
        <v>32</v>
      </c>
      <c r="K52" s="153" t="s">
        <v>33</v>
      </c>
      <c r="L52" s="61" t="s">
        <v>34</v>
      </c>
      <c r="M52" s="20" t="s">
        <v>35</v>
      </c>
      <c r="N52" s="20" t="s">
        <v>36</v>
      </c>
      <c r="O52" s="21"/>
      <c r="P52" s="21"/>
      <c r="Q52" s="21"/>
      <c r="R52" s="21"/>
      <c r="S52" s="21"/>
      <c r="T52" s="21"/>
      <c r="U52" s="20" t="s">
        <v>68</v>
      </c>
      <c r="V52" s="22"/>
      <c r="W52" s="23"/>
      <c r="X52" s="24"/>
      <c r="Y52" s="76" t="s">
        <v>173</v>
      </c>
      <c r="Z52" s="76"/>
      <c r="AA52" s="162" t="s">
        <v>192</v>
      </c>
    </row>
    <row r="53" spans="1:27" ht="15" customHeight="1">
      <c r="A53" s="35" t="s">
        <v>190</v>
      </c>
      <c r="B53" s="27" t="s">
        <v>193</v>
      </c>
      <c r="C53" s="45" t="s">
        <v>66</v>
      </c>
      <c r="D53" s="17" t="str" cm="1">
        <f t="array" ref="D53">_xlfn.TEXTJOIN(", ", TRUE(), _xlfn._xlws.FILTER(Speakers_in_Recordings!$B$2:$B$1502,Speakers_in_Recordings!$A$2:$A$1502=Rcrdngs[[#This Row],[Text]],"[no speaker selected in Speakers_in_Recordings]"))</f>
        <v>KUW_2022_Speaker3, KUW_2022_Speaker6, KUW_2022_Gunda</v>
      </c>
      <c r="E53" s="17" t="str" cm="1">
        <f t="array" ref="E53">_xlfn.TEXTJOIN(", ", TRUE(), _xlfn._xlws.FILTER(Sbcts_Rcrdngs[Subject],Sbcts_Rcrdngs[Recording]=Rcrdngs[[#This Row],[Text]],"[no subject selected in Subjects_in_Recordings]"))</f>
        <v>Questionnaire</v>
      </c>
      <c r="F53" s="18">
        <v>44691</v>
      </c>
      <c r="G53" s="134" t="s">
        <v>194</v>
      </c>
      <c r="H53" s="49" t="s">
        <v>31</v>
      </c>
      <c r="I53" s="49" t="s">
        <v>46</v>
      </c>
      <c r="J53" s="153" t="s">
        <v>32</v>
      </c>
      <c r="K53" s="153" t="s">
        <v>33</v>
      </c>
      <c r="L53" s="61" t="s">
        <v>34</v>
      </c>
      <c r="M53" s="20" t="s">
        <v>35</v>
      </c>
      <c r="N53" s="20" t="s">
        <v>36</v>
      </c>
      <c r="O53" s="21"/>
      <c r="P53" s="21"/>
      <c r="Q53" s="21"/>
      <c r="R53" s="21"/>
      <c r="S53" s="21"/>
      <c r="T53" s="21"/>
      <c r="U53" s="20" t="s">
        <v>68</v>
      </c>
      <c r="V53" s="22"/>
      <c r="W53" s="23"/>
      <c r="X53" s="24"/>
      <c r="Y53" s="76" t="s">
        <v>173</v>
      </c>
      <c r="Z53" s="76"/>
      <c r="AA53" s="162" t="s">
        <v>195</v>
      </c>
    </row>
    <row r="54" spans="1:27" ht="15" customHeight="1">
      <c r="A54" s="35" t="s">
        <v>193</v>
      </c>
      <c r="B54" s="27" t="s">
        <v>196</v>
      </c>
      <c r="C54" s="45" t="s">
        <v>66</v>
      </c>
      <c r="D54" s="17" t="str" cm="1">
        <f t="array" ref="D54">_xlfn.TEXTJOIN(", ", TRUE(), _xlfn._xlws.FILTER(Speakers_in_Recordings!$B$2:$B$1502,Speakers_in_Recordings!$A$2:$A$1502=Rcrdngs[[#This Row],[Text]],"[no speaker selected in Speakers_in_Recordings]"))</f>
        <v>KUW_2022_Speaker6, KUW_2022_Gunda</v>
      </c>
      <c r="E54" s="17" t="str" cm="1">
        <f t="array" ref="E54">_xlfn.TEXTJOIN(", ", TRUE(), _xlfn._xlws.FILTER(Sbcts_Rcrdngs[Subject],Sbcts_Rcrdngs[Recording]=Rcrdngs[[#This Row],[Text]],"[no subject selected in Subjects_in_Recordings]"))</f>
        <v>Questionnaire</v>
      </c>
      <c r="F54" s="18">
        <v>44691</v>
      </c>
      <c r="G54" s="134" t="s">
        <v>197</v>
      </c>
      <c r="H54" s="49" t="s">
        <v>31</v>
      </c>
      <c r="I54" s="49" t="s">
        <v>46</v>
      </c>
      <c r="J54" s="153" t="s">
        <v>32</v>
      </c>
      <c r="K54" s="153" t="s">
        <v>33</v>
      </c>
      <c r="L54" s="61" t="s">
        <v>34</v>
      </c>
      <c r="M54" s="20" t="s">
        <v>35</v>
      </c>
      <c r="N54" s="20" t="s">
        <v>36</v>
      </c>
      <c r="O54" s="21"/>
      <c r="P54" s="21"/>
      <c r="Q54" s="21"/>
      <c r="R54" s="21"/>
      <c r="S54" s="21"/>
      <c r="T54" s="21"/>
      <c r="U54" s="20" t="s">
        <v>68</v>
      </c>
      <c r="V54" s="22"/>
      <c r="W54" s="23"/>
      <c r="X54" s="24"/>
      <c r="Y54" s="76" t="s">
        <v>173</v>
      </c>
      <c r="Z54" s="76"/>
      <c r="AA54" s="162" t="s">
        <v>198</v>
      </c>
    </row>
    <row r="55" spans="1:27" ht="15" customHeight="1">
      <c r="A55" s="35" t="s">
        <v>196</v>
      </c>
      <c r="B55" s="27" t="s">
        <v>199</v>
      </c>
      <c r="C55" s="45" t="s">
        <v>66</v>
      </c>
      <c r="D55" s="17" t="str" cm="1">
        <f t="array" ref="D55">_xlfn.TEXTJOIN(", ", TRUE(), _xlfn._xlws.FILTER(Speakers_in_Recordings!$B$2:$B$1502,Speakers_in_Recordings!$A$2:$A$1502=Rcrdngs[[#This Row],[Text]],"[no speaker selected in Speakers_in_Recordings]"))</f>
        <v>KUW_2022_Speaker3, KUW_2022_Gunda</v>
      </c>
      <c r="E55" s="17" t="str" cm="1">
        <f t="array" ref="E55">_xlfn.TEXTJOIN(", ", TRUE(), _xlfn._xlws.FILTER(Sbcts_Rcrdngs[Subject],Sbcts_Rcrdngs[Recording]=Rcrdngs[[#This Row],[Text]],"[no subject selected in Subjects_in_Recordings]"))</f>
        <v>Questionnaire</v>
      </c>
      <c r="F55" s="18">
        <v>44691</v>
      </c>
      <c r="G55" s="134" t="s">
        <v>200</v>
      </c>
      <c r="H55" s="49" t="s">
        <v>31</v>
      </c>
      <c r="I55" s="49" t="s">
        <v>46</v>
      </c>
      <c r="J55" s="153" t="s">
        <v>32</v>
      </c>
      <c r="K55" s="153" t="s">
        <v>33</v>
      </c>
      <c r="L55" s="61" t="s">
        <v>34</v>
      </c>
      <c r="M55" s="20" t="s">
        <v>35</v>
      </c>
      <c r="N55" s="20" t="s">
        <v>36</v>
      </c>
      <c r="O55" s="21"/>
      <c r="P55" s="21"/>
      <c r="Q55" s="21"/>
      <c r="R55" s="21"/>
      <c r="S55" s="21"/>
      <c r="T55" s="21"/>
      <c r="U55" s="20" t="s">
        <v>68</v>
      </c>
      <c r="V55" s="22"/>
      <c r="W55" s="23"/>
      <c r="X55" s="24"/>
      <c r="Y55" s="76" t="s">
        <v>173</v>
      </c>
      <c r="Z55" s="76"/>
      <c r="AA55" s="162" t="s">
        <v>201</v>
      </c>
    </row>
    <row r="56" spans="1:27" ht="15" customHeight="1">
      <c r="A56" s="35" t="s">
        <v>199</v>
      </c>
      <c r="B56" s="27" t="s">
        <v>202</v>
      </c>
      <c r="C56" s="45" t="s">
        <v>66</v>
      </c>
      <c r="D56" s="17" t="str" cm="1">
        <f t="array" ref="D56">_xlfn.TEXTJOIN(", ", TRUE(), _xlfn._xlws.FILTER(Speakers_in_Recordings!$B$2:$B$1502,Speakers_in_Recordings!$A$2:$A$1502=Rcrdngs[[#This Row],[Text]],"[no speaker selected in Speakers_in_Recordings]"))</f>
        <v>KUW_2022_Speaker11, KUW_2022_Gunda</v>
      </c>
      <c r="E56" s="17" t="str" cm="1">
        <f t="array" ref="E56">_xlfn.TEXTJOIN(", ", TRUE(), _xlfn._xlws.FILTER(Sbcts_Rcrdngs[Subject],Sbcts_Rcrdngs[Recording]=Rcrdngs[[#This Row],[Text]],"[no subject selected in Subjects_in_Recordings]"))</f>
        <v>Questionnaire</v>
      </c>
      <c r="F56" s="18">
        <v>44692</v>
      </c>
      <c r="G56" s="134" t="s">
        <v>203</v>
      </c>
      <c r="H56" s="49" t="s">
        <v>31</v>
      </c>
      <c r="I56" s="49" t="s">
        <v>46</v>
      </c>
      <c r="J56" s="153" t="s">
        <v>32</v>
      </c>
      <c r="K56" s="153" t="s">
        <v>33</v>
      </c>
      <c r="L56" s="61" t="s">
        <v>34</v>
      </c>
      <c r="M56" s="20" t="s">
        <v>35</v>
      </c>
      <c r="N56" s="20" t="s">
        <v>36</v>
      </c>
      <c r="O56" s="21"/>
      <c r="P56" s="21"/>
      <c r="Q56" s="21"/>
      <c r="R56" s="21"/>
      <c r="S56" s="21"/>
      <c r="T56" s="21"/>
      <c r="U56" s="20" t="s">
        <v>68</v>
      </c>
      <c r="V56" s="22"/>
      <c r="W56" s="23"/>
      <c r="X56" s="24"/>
      <c r="Y56" s="76" t="s">
        <v>173</v>
      </c>
      <c r="Z56" s="76"/>
      <c r="AA56" s="162" t="s">
        <v>204</v>
      </c>
    </row>
    <row r="57" spans="1:27" ht="15" customHeight="1">
      <c r="A57" s="35" t="s">
        <v>202</v>
      </c>
      <c r="B57" s="27"/>
      <c r="C57" s="45" t="s">
        <v>66</v>
      </c>
      <c r="D57" s="17" t="str" cm="1">
        <f t="array" ref="D57">_xlfn.TEXTJOIN(", ", TRUE(), _xlfn._xlws.FILTER(Speakers_in_Recordings!$B$2:$B$1502,Speakers_in_Recordings!$A$2:$A$1502=Rcrdngs[[#This Row],[Text]],"[no speaker selected in Speakers_in_Recordings]"))</f>
        <v>KUW_2022_Speaker11, KUW_2022_Gunda</v>
      </c>
      <c r="E57" s="17" t="str" cm="1">
        <f t="array" ref="E57">_xlfn.TEXTJOIN(", ", TRUE(), _xlfn._xlws.FILTER(Sbcts_Rcrdngs[Subject],Sbcts_Rcrdngs[Recording]=Rcrdngs[[#This Row],[Text]],"[no subject selected in Subjects_in_Recordings]"))</f>
        <v>Questionnaire</v>
      </c>
      <c r="F57" s="18">
        <v>44692</v>
      </c>
      <c r="G57" s="134" t="s">
        <v>205</v>
      </c>
      <c r="H57" s="49" t="s">
        <v>31</v>
      </c>
      <c r="I57" s="49" t="s">
        <v>46</v>
      </c>
      <c r="J57" s="153" t="s">
        <v>32</v>
      </c>
      <c r="K57" s="153" t="s">
        <v>33</v>
      </c>
      <c r="L57" s="61" t="s">
        <v>34</v>
      </c>
      <c r="M57" s="20" t="s">
        <v>35</v>
      </c>
      <c r="N57" s="20" t="s">
        <v>36</v>
      </c>
      <c r="O57" s="21"/>
      <c r="P57" s="21"/>
      <c r="Q57" s="21"/>
      <c r="R57" s="21"/>
      <c r="S57" s="21"/>
      <c r="T57" s="21"/>
      <c r="U57" s="20" t="s">
        <v>68</v>
      </c>
      <c r="V57" s="22"/>
      <c r="W57" s="23"/>
      <c r="X57" s="24"/>
      <c r="Y57" s="76" t="s">
        <v>173</v>
      </c>
      <c r="Z57" s="76"/>
      <c r="AA57" s="162" t="s">
        <v>206</v>
      </c>
    </row>
    <row r="58" spans="1:27" ht="15" customHeight="1">
      <c r="A58" s="35" t="s">
        <v>207</v>
      </c>
      <c r="B58" s="27" t="s">
        <v>208</v>
      </c>
      <c r="C58" s="45" t="s">
        <v>66</v>
      </c>
      <c r="D58" s="17" t="str" cm="1">
        <f t="array" ref="D58">_xlfn.TEXTJOIN(", ", TRUE(), _xlfn._xlws.FILTER(Speakers_in_Recordings!$B$2:$B$1502,Speakers_in_Recordings!$A$2:$A$1502=Rcrdngs[[#This Row],[Text]],"[no speaker selected in Speakers_in_Recordings]"))</f>
        <v>KUW_2022_Speaker13, KUW_2022_Speaker14, KUW_2022_Gunda, KUW_2022_Inas</v>
      </c>
      <c r="E58" s="17" t="str" cm="1">
        <f t="array" ref="E58">_xlfn.TEXTJOIN(", ", TRUE(), _xlfn._xlws.FILTER(Sbcts_Rcrdngs[Subject],Sbcts_Rcrdngs[Recording]=Rcrdngs[[#This Row],[Text]],"[no subject selected in Subjects_in_Recordings]"))</f>
        <v>Childhood, Language and identity</v>
      </c>
      <c r="F58" s="18">
        <v>44661</v>
      </c>
      <c r="G58" s="134" t="s">
        <v>209</v>
      </c>
      <c r="H58" s="49" t="s">
        <v>31</v>
      </c>
      <c r="I58" s="49" t="s">
        <v>32</v>
      </c>
      <c r="J58" s="153" t="s">
        <v>32</v>
      </c>
      <c r="K58" s="153" t="s">
        <v>33</v>
      </c>
      <c r="L58" s="61" t="s">
        <v>34</v>
      </c>
      <c r="M58" s="20" t="s">
        <v>35</v>
      </c>
      <c r="N58" s="20" t="s">
        <v>36</v>
      </c>
      <c r="O58" s="21"/>
      <c r="P58" s="21"/>
      <c r="Q58" s="21"/>
      <c r="R58" s="21"/>
      <c r="S58" s="21"/>
      <c r="T58" s="21"/>
      <c r="U58" s="20" t="s">
        <v>68</v>
      </c>
      <c r="V58" s="22"/>
      <c r="W58" s="23"/>
      <c r="X58" s="24"/>
      <c r="Y58" s="76" t="s">
        <v>39</v>
      </c>
      <c r="Z58" s="76"/>
      <c r="AA58" s="162" t="s">
        <v>210</v>
      </c>
    </row>
    <row r="59" spans="1:27" ht="15" customHeight="1">
      <c r="A59" s="35" t="s">
        <v>208</v>
      </c>
      <c r="B59" s="27" t="s">
        <v>211</v>
      </c>
      <c r="C59" s="45" t="s">
        <v>66</v>
      </c>
      <c r="D59" s="17" t="str" cm="1">
        <f t="array" ref="D59">_xlfn.TEXTJOIN(", ", TRUE(), _xlfn._xlws.FILTER(Speakers_in_Recordings!$B$2:$B$1502,Speakers_in_Recordings!$A$2:$A$1502=Rcrdngs[[#This Row],[Text]],"[no speaker selected in Speakers_in_Recordings]"))</f>
        <v>KUW_2022_Speaker13, KUW_2022_Speaker14, KUW_2022_Gunda, KUW_2022_Inas</v>
      </c>
      <c r="E59" s="17" t="str" cm="1">
        <f t="array" ref="E59">_xlfn.TEXTJOIN(", ", TRUE(), _xlfn._xlws.FILTER(Sbcts_Rcrdngs[Subject],Sbcts_Rcrdngs[Recording]=Rcrdngs[[#This Row],[Text]],"[no subject selected in Subjects_in_Recordings]"))</f>
        <v xml:space="preserve">Childhood, Slavery </v>
      </c>
      <c r="F59" s="18">
        <v>44661</v>
      </c>
      <c r="G59" s="134" t="s">
        <v>212</v>
      </c>
      <c r="H59" s="49" t="s">
        <v>31</v>
      </c>
      <c r="I59" s="49" t="s">
        <v>32</v>
      </c>
      <c r="J59" s="153" t="s">
        <v>32</v>
      </c>
      <c r="K59" s="153" t="s">
        <v>33</v>
      </c>
      <c r="L59" s="61" t="s">
        <v>34</v>
      </c>
      <c r="M59" s="20" t="s">
        <v>35</v>
      </c>
      <c r="N59" s="20" t="s">
        <v>36</v>
      </c>
      <c r="O59" s="21"/>
      <c r="P59" s="21"/>
      <c r="Q59" s="21"/>
      <c r="R59" s="21"/>
      <c r="S59" s="21"/>
      <c r="T59" s="21"/>
      <c r="U59" s="20" t="s">
        <v>68</v>
      </c>
      <c r="V59" s="22"/>
      <c r="W59" s="23"/>
      <c r="X59" s="24"/>
      <c r="Y59" s="76" t="s">
        <v>39</v>
      </c>
      <c r="Z59" s="76"/>
      <c r="AA59" s="162" t="s">
        <v>213</v>
      </c>
    </row>
    <row r="60" spans="1:27" ht="15" customHeight="1">
      <c r="A60" s="35" t="s">
        <v>211</v>
      </c>
      <c r="B60" s="27" t="s">
        <v>214</v>
      </c>
      <c r="C60" s="45" t="s">
        <v>66</v>
      </c>
      <c r="D60" s="17" t="str" cm="1">
        <f t="array" ref="D60">_xlfn.TEXTJOIN(", ", TRUE(), _xlfn._xlws.FILTER(Speakers_in_Recordings!$B$2:$B$1502,Speakers_in_Recordings!$A$2:$A$1502=Rcrdngs[[#This Row],[Text]],"[no speaker selected in Speakers_in_Recordings]"))</f>
        <v>KUW_2022_Speaker13, KUW_2022_Speaker14, KUW_2022_Gunda</v>
      </c>
      <c r="E60" s="17" t="str" cm="1">
        <f t="array" ref="E60">_xlfn.TEXTJOIN(", ", TRUE(), _xlfn._xlws.FILTER(Sbcts_Rcrdngs[Subject],Sbcts_Rcrdngs[Recording]=Rcrdngs[[#This Row],[Text]],"[no subject selected in Subjects_in_Recordings]"))</f>
        <v xml:space="preserve">Slavery </v>
      </c>
      <c r="F60" s="18">
        <v>44661</v>
      </c>
      <c r="G60" s="134" t="s">
        <v>215</v>
      </c>
      <c r="H60" s="49" t="s">
        <v>31</v>
      </c>
      <c r="I60" s="49" t="s">
        <v>32</v>
      </c>
      <c r="J60" s="153" t="s">
        <v>32</v>
      </c>
      <c r="K60" s="153" t="s">
        <v>33</v>
      </c>
      <c r="L60" s="61" t="s">
        <v>34</v>
      </c>
      <c r="M60" s="20" t="s">
        <v>35</v>
      </c>
      <c r="N60" s="20" t="s">
        <v>36</v>
      </c>
      <c r="O60" s="21"/>
      <c r="P60" s="21"/>
      <c r="Q60" s="21"/>
      <c r="R60" s="21"/>
      <c r="S60" s="21"/>
      <c r="T60" s="21"/>
      <c r="U60" s="20" t="s">
        <v>68</v>
      </c>
      <c r="V60" s="22"/>
      <c r="W60" s="23"/>
      <c r="X60" s="24"/>
      <c r="Y60" s="76" t="s">
        <v>39</v>
      </c>
      <c r="Z60" s="76"/>
      <c r="AA60" s="162" t="s">
        <v>216</v>
      </c>
    </row>
    <row r="61" spans="1:27" ht="15" customHeight="1">
      <c r="A61" s="35" t="s">
        <v>217</v>
      </c>
      <c r="B61" s="27" t="s">
        <v>218</v>
      </c>
      <c r="C61" s="45" t="s">
        <v>66</v>
      </c>
      <c r="D61" s="17" t="str" cm="1">
        <f t="array" ref="D61">_xlfn.TEXTJOIN(", ", TRUE(), _xlfn._xlws.FILTER(Speakers_in_Recordings!$B$2:$B$1502,Speakers_in_Recordings!$A$2:$A$1502=Rcrdngs[[#This Row],[Text]],"[no speaker selected in Speakers_in_Recordings]"))</f>
        <v>KUW_2022_Speaker13, KUW_2022_Speaker14, KUW_2022_Gunda, KUW_2022_Inas</v>
      </c>
      <c r="E61" s="17" t="str" cm="1">
        <f t="array" ref="E61">_xlfn.TEXTJOIN(", ", TRUE(), _xlfn._xlws.FILTER(Sbcts_Rcrdngs[Subject],Sbcts_Rcrdngs[Recording]=Rcrdngs[[#This Row],[Text]],"[no subject selected in Subjects_in_Recordings]"))</f>
        <v>Tribal History, History general, Marriage</v>
      </c>
      <c r="F61" s="18">
        <v>44661</v>
      </c>
      <c r="G61" s="134" t="s">
        <v>200</v>
      </c>
      <c r="H61" s="49" t="s">
        <v>31</v>
      </c>
      <c r="I61" s="49" t="s">
        <v>32</v>
      </c>
      <c r="J61" s="153" t="s">
        <v>32</v>
      </c>
      <c r="K61" s="153" t="s">
        <v>33</v>
      </c>
      <c r="L61" s="61" t="s">
        <v>34</v>
      </c>
      <c r="M61" s="20" t="s">
        <v>35</v>
      </c>
      <c r="N61" s="20" t="s">
        <v>36</v>
      </c>
      <c r="O61" s="21"/>
      <c r="P61" s="21"/>
      <c r="Q61" s="21"/>
      <c r="R61" s="21"/>
      <c r="S61" s="21"/>
      <c r="T61" s="21"/>
      <c r="U61" s="20" t="s">
        <v>68</v>
      </c>
      <c r="V61" s="22"/>
      <c r="W61" s="23"/>
      <c r="X61" s="24"/>
      <c r="Y61" s="76" t="s">
        <v>39</v>
      </c>
      <c r="Z61" s="76"/>
      <c r="AA61" s="162" t="s">
        <v>219</v>
      </c>
    </row>
    <row r="62" spans="1:27" ht="15" customHeight="1">
      <c r="A62" s="35" t="s">
        <v>218</v>
      </c>
      <c r="B62" s="27" t="s">
        <v>220</v>
      </c>
      <c r="C62" s="45" t="s">
        <v>66</v>
      </c>
      <c r="D62" s="17" t="str" cm="1">
        <f t="array" ref="D62">_xlfn.TEXTJOIN(", ", TRUE(), _xlfn._xlws.FILTER(Speakers_in_Recordings!$B$2:$B$1502,Speakers_in_Recordings!$A$2:$A$1502=Rcrdngs[[#This Row],[Text]],"[no speaker selected in Speakers_in_Recordings]"))</f>
        <v>KUW_2022_Speaker13, KUW_2022_Speaker14, KUW_2022_Inas</v>
      </c>
      <c r="E62" s="17" t="str" cm="1">
        <f t="array" ref="E62">_xlfn.TEXTJOIN(", ", TRUE(), _xlfn._xlws.FILTER(Sbcts_Rcrdngs[Subject],Sbcts_Rcrdngs[Recording]=Rcrdngs[[#This Row],[Text]],"[no subject selected in Subjects_in_Recordings]"))</f>
        <v>Language and identity, Racism</v>
      </c>
      <c r="F62" s="18">
        <v>44661</v>
      </c>
      <c r="G62" s="134" t="s">
        <v>221</v>
      </c>
      <c r="H62" s="49" t="s">
        <v>31</v>
      </c>
      <c r="I62" s="49" t="s">
        <v>32</v>
      </c>
      <c r="J62" s="153" t="s">
        <v>32</v>
      </c>
      <c r="K62" s="153" t="s">
        <v>33</v>
      </c>
      <c r="L62" s="61" t="s">
        <v>34</v>
      </c>
      <c r="M62" s="20" t="s">
        <v>35</v>
      </c>
      <c r="N62" s="20" t="s">
        <v>36</v>
      </c>
      <c r="O62" s="21"/>
      <c r="P62" s="21"/>
      <c r="Q62" s="21"/>
      <c r="R62" s="21"/>
      <c r="S62" s="21"/>
      <c r="T62" s="21"/>
      <c r="U62" s="20" t="s">
        <v>68</v>
      </c>
      <c r="V62" s="22"/>
      <c r="W62" s="23"/>
      <c r="X62" s="24"/>
      <c r="Y62" s="76" t="s">
        <v>39</v>
      </c>
      <c r="Z62" s="76"/>
      <c r="AA62" s="162" t="s">
        <v>222</v>
      </c>
    </row>
    <row r="63" spans="1:27" ht="15" customHeight="1">
      <c r="A63" s="35" t="s">
        <v>220</v>
      </c>
      <c r="B63" s="27" t="s">
        <v>223</v>
      </c>
      <c r="C63" s="45" t="s">
        <v>66</v>
      </c>
      <c r="D63" s="17" t="str" cm="1">
        <f t="array" ref="D63">_xlfn.TEXTJOIN(", ", TRUE(), _xlfn._xlws.FILTER(Speakers_in_Recordings!$B$2:$B$1502,Speakers_in_Recordings!$A$2:$A$1502=Rcrdngs[[#This Row],[Text]],"[no speaker selected in Speakers_in_Recordings]"))</f>
        <v>KUW_2022_Speaker13, KUW_2022_Speaker14, KUW_2022_Gunda, KUW_2022_Inas</v>
      </c>
      <c r="E63" s="17" t="str" cm="1">
        <f t="array" ref="E63">_xlfn.TEXTJOIN(", ", TRUE(), _xlfn._xlws.FILTER(Sbcts_Rcrdngs[Subject],Sbcts_Rcrdngs[Recording]=Rcrdngs[[#This Row],[Text]],"[no subject selected in Subjects_in_Recordings]"))</f>
        <v>Language and identity, History general, Family</v>
      </c>
      <c r="F63" s="18">
        <v>44661</v>
      </c>
      <c r="G63" s="134" t="s">
        <v>224</v>
      </c>
      <c r="H63" s="49" t="s">
        <v>31</v>
      </c>
      <c r="I63" s="49" t="s">
        <v>32</v>
      </c>
      <c r="J63" s="153" t="s">
        <v>32</v>
      </c>
      <c r="K63" s="153" t="s">
        <v>33</v>
      </c>
      <c r="L63" s="61" t="s">
        <v>34</v>
      </c>
      <c r="M63" s="20" t="s">
        <v>35</v>
      </c>
      <c r="N63" s="20" t="s">
        <v>36</v>
      </c>
      <c r="O63" s="21"/>
      <c r="P63" s="21"/>
      <c r="Q63" s="21"/>
      <c r="R63" s="21"/>
      <c r="S63" s="21"/>
      <c r="T63" s="21"/>
      <c r="U63" s="20" t="s">
        <v>68</v>
      </c>
      <c r="V63" s="22"/>
      <c r="W63" s="23"/>
      <c r="X63" s="24"/>
      <c r="Y63" s="76" t="s">
        <v>39</v>
      </c>
      <c r="Z63" s="76"/>
      <c r="AA63" s="162" t="s">
        <v>225</v>
      </c>
    </row>
    <row r="64" spans="1:27" ht="15" customHeight="1">
      <c r="A64" s="35" t="s">
        <v>223</v>
      </c>
      <c r="B64" s="27"/>
      <c r="C64" s="45" t="s">
        <v>66</v>
      </c>
      <c r="D64" s="17" t="str" cm="1">
        <f t="array" ref="D64">_xlfn.TEXTJOIN(", ", TRUE(), _xlfn._xlws.FILTER(Speakers_in_Recordings!$B$2:$B$1502,Speakers_in_Recordings!$A$2:$A$1502=Rcrdngs[[#This Row],[Text]],"[no speaker selected in Speakers_in_Recordings]"))</f>
        <v>KUW_2022_Speaker13, KUW_2022_Speaker14, KUW_2022_Gunda</v>
      </c>
      <c r="E64" s="17" t="str" cm="1">
        <f t="array" ref="E64">_xlfn.TEXTJOIN(", ", TRUE(), _xlfn._xlws.FILTER(Sbcts_Rcrdngs[Subject],Sbcts_Rcrdngs[Recording]=Rcrdngs[[#This Row],[Text]],"[no subject selected in Subjects_in_Recordings]"))</f>
        <v>Henna, Religion</v>
      </c>
      <c r="F64" s="18">
        <v>44661</v>
      </c>
      <c r="G64" s="134" t="s">
        <v>226</v>
      </c>
      <c r="H64" s="49" t="s">
        <v>31</v>
      </c>
      <c r="I64" s="49" t="s">
        <v>32</v>
      </c>
      <c r="J64" s="153" t="s">
        <v>32</v>
      </c>
      <c r="K64" s="153" t="s">
        <v>33</v>
      </c>
      <c r="L64" s="61" t="s">
        <v>34</v>
      </c>
      <c r="M64" s="20" t="s">
        <v>35</v>
      </c>
      <c r="N64" s="20" t="s">
        <v>36</v>
      </c>
      <c r="O64" s="21"/>
      <c r="P64" s="21"/>
      <c r="Q64" s="21"/>
      <c r="R64" s="21"/>
      <c r="S64" s="21"/>
      <c r="T64" s="21"/>
      <c r="U64" s="20" t="s">
        <v>68</v>
      </c>
      <c r="V64" s="22"/>
      <c r="W64" s="23"/>
      <c r="X64" s="24"/>
      <c r="Y64" s="76" t="s">
        <v>39</v>
      </c>
      <c r="Z64" s="76"/>
      <c r="AA64" s="162" t="s">
        <v>227</v>
      </c>
    </row>
    <row r="65" spans="1:27" ht="15" customHeight="1">
      <c r="A65" s="35" t="s">
        <v>228</v>
      </c>
      <c r="B65" s="27"/>
      <c r="C65" s="45" t="s">
        <v>66</v>
      </c>
      <c r="D65" s="17" t="str" cm="1">
        <f t="array" ref="D65">_xlfn.TEXTJOIN(", ", TRUE(), _xlfn._xlws.FILTER(Speakers_in_Recordings!$B$2:$B$1502,Speakers_in_Recordings!$A$2:$A$1502=Rcrdngs[[#This Row],[Text]],"[no speaker selected in Speakers_in_Recordings]"))</f>
        <v>KUW_2022_Speaker13, KUW_2022_Speaker14, KUW_2022_Gunda, KUW_2022_Inas</v>
      </c>
      <c r="E65" s="17" t="str" cm="1">
        <f t="array" ref="E65">_xlfn.TEXTJOIN(", ", TRUE(), _xlfn._xlws.FILTER(Sbcts_Rcrdngs[Subject],Sbcts_Rcrdngs[Recording]=Rcrdngs[[#This Row],[Text]],"[no subject selected in Subjects_in_Recordings]"))</f>
        <v>Henna</v>
      </c>
      <c r="F65" s="18">
        <v>44661</v>
      </c>
      <c r="G65" s="154" t="s">
        <v>229</v>
      </c>
      <c r="H65" s="49" t="s">
        <v>31</v>
      </c>
      <c r="I65" s="49" t="s">
        <v>32</v>
      </c>
      <c r="J65" s="153" t="s">
        <v>32</v>
      </c>
      <c r="K65" s="153" t="s">
        <v>33</v>
      </c>
      <c r="L65" s="61" t="s">
        <v>34</v>
      </c>
      <c r="M65" s="20" t="s">
        <v>35</v>
      </c>
      <c r="N65" s="20" t="s">
        <v>36</v>
      </c>
      <c r="O65" s="21"/>
      <c r="P65" s="21"/>
      <c r="Q65" s="21"/>
      <c r="R65" s="21"/>
      <c r="S65" s="21"/>
      <c r="T65" s="21"/>
      <c r="U65" s="20" t="s">
        <v>68</v>
      </c>
      <c r="V65" s="22"/>
      <c r="W65" s="23"/>
      <c r="X65" s="24"/>
      <c r="Y65" s="76" t="s">
        <v>39</v>
      </c>
      <c r="Z65" s="76"/>
      <c r="AA65" s="162" t="s">
        <v>230</v>
      </c>
    </row>
    <row r="66" spans="1:27" ht="15" customHeight="1">
      <c r="A66" s="35" t="s">
        <v>231</v>
      </c>
      <c r="B66" s="27"/>
      <c r="C66" s="45" t="s">
        <v>66</v>
      </c>
      <c r="D66" s="17" t="str" cm="1">
        <f t="array" ref="D66">_xlfn.TEXTJOIN(", ", TRUE(), _xlfn._xlws.FILTER(Speakers_in_Recordings!$B$2:$B$1502,Speakers_in_Recordings!$A$2:$A$1502=Rcrdngs[[#This Row],[Text]],"[no speaker selected in Speakers_in_Recordings]"))</f>
        <v>KUW_2022_Speaker13, KUW_2022_Speaker14, KUW_2022_Gunda, KUW_2022_Inas</v>
      </c>
      <c r="E66" s="17" t="str" cm="1">
        <f t="array" ref="E66">_xlfn.TEXTJOIN(", ", TRUE(), _xlfn._xlws.FILTER(Sbcts_Rcrdngs[Subject],Sbcts_Rcrdngs[Recording]=Rcrdngs[[#This Row],[Text]],"[no subject selected in Subjects_in_Recordings]"))</f>
        <v>Argument</v>
      </c>
      <c r="F66" s="18">
        <v>44661</v>
      </c>
      <c r="G66" s="154" t="s">
        <v>232</v>
      </c>
      <c r="H66" s="49" t="s">
        <v>31</v>
      </c>
      <c r="I66" s="49" t="s">
        <v>32</v>
      </c>
      <c r="J66" s="153" t="s">
        <v>32</v>
      </c>
      <c r="K66" s="153" t="s">
        <v>33</v>
      </c>
      <c r="L66" s="61" t="s">
        <v>34</v>
      </c>
      <c r="M66" s="20" t="s">
        <v>35</v>
      </c>
      <c r="N66" s="20" t="s">
        <v>36</v>
      </c>
      <c r="O66" s="21"/>
      <c r="P66" s="21"/>
      <c r="Q66" s="21"/>
      <c r="R66" s="21"/>
      <c r="S66" s="21"/>
      <c r="T66" s="21"/>
      <c r="U66" s="20" t="s">
        <v>68</v>
      </c>
      <c r="V66" s="22"/>
      <c r="W66" s="23"/>
      <c r="X66" s="24"/>
      <c r="Y66" s="76" t="s">
        <v>39</v>
      </c>
      <c r="Z66" s="76"/>
      <c r="AA66" s="162" t="s">
        <v>233</v>
      </c>
    </row>
    <row r="67" spans="1:27" ht="15" customHeight="1">
      <c r="A67" s="35" t="s">
        <v>234</v>
      </c>
      <c r="B67" s="27"/>
      <c r="C67" s="45" t="s">
        <v>66</v>
      </c>
      <c r="D67" s="17" t="str" cm="1">
        <f t="array" ref="D67">_xlfn.TEXTJOIN(", ", TRUE(), _xlfn._xlws.FILTER(Speakers_in_Recordings!$B$2:$B$1502,Speakers_in_Recordings!$A$2:$A$1502=Rcrdngs[[#This Row],[Text]],"[no speaker selected in Speakers_in_Recordings]"))</f>
        <v>KUW_2022_Speaker13, KUW_2022_Speaker14, KUW_2022_Gunda, KUW_2022_Inas</v>
      </c>
      <c r="E67" s="17" t="str" cm="1">
        <f t="array" ref="E67">_xlfn.TEXTJOIN(", ", TRUE(), _xlfn._xlws.FILTER(Sbcts_Rcrdngs[Subject],Sbcts_Rcrdngs[Recording]=Rcrdngs[[#This Row],[Text]],"[no subject selected in Subjects_in_Recordings]"))</f>
        <v>Childbirth</v>
      </c>
      <c r="F67" s="18">
        <v>44661</v>
      </c>
      <c r="G67" s="134" t="s">
        <v>235</v>
      </c>
      <c r="H67" s="49" t="s">
        <v>31</v>
      </c>
      <c r="I67" s="49" t="s">
        <v>32</v>
      </c>
      <c r="J67" s="153" t="s">
        <v>32</v>
      </c>
      <c r="K67" s="153" t="s">
        <v>33</v>
      </c>
      <c r="L67" s="61" t="s">
        <v>34</v>
      </c>
      <c r="M67" s="20" t="s">
        <v>35</v>
      </c>
      <c r="N67" s="20" t="s">
        <v>36</v>
      </c>
      <c r="O67" s="21"/>
      <c r="P67" s="21"/>
      <c r="Q67" s="21"/>
      <c r="R67" s="21"/>
      <c r="S67" s="21"/>
      <c r="T67" s="21"/>
      <c r="U67" s="20" t="s">
        <v>68</v>
      </c>
      <c r="V67" s="22"/>
      <c r="W67" s="23"/>
      <c r="X67" s="24"/>
      <c r="Y67" s="76" t="s">
        <v>39</v>
      </c>
      <c r="Z67" s="76"/>
      <c r="AA67" s="162" t="s">
        <v>236</v>
      </c>
    </row>
    <row r="68" spans="1:27" ht="15" customHeight="1">
      <c r="A68" s="35" t="s">
        <v>237</v>
      </c>
      <c r="B68" s="27"/>
      <c r="C68" s="45" t="s">
        <v>66</v>
      </c>
      <c r="D68" s="17" t="str" cm="1">
        <f t="array" ref="D68">_xlfn.TEXTJOIN(", ", TRUE(), _xlfn._xlws.FILTER(Speakers_in_Recordings!$B$2:$B$1502,Speakers_in_Recordings!$A$2:$A$1502=Rcrdngs[[#This Row],[Text]],"[no speaker selected in Speakers_in_Recordings]"))</f>
        <v>KUW_2022_Speaker13, KUW_2022_Speaker14, KUW_2022_Gunda, KUW_2022_Inas</v>
      </c>
      <c r="E68" s="17" t="str" cm="1">
        <f t="array" ref="E68">_xlfn.TEXTJOIN(", ", TRUE(), _xlfn._xlws.FILTER(Sbcts_Rcrdngs[Subject],Sbcts_Rcrdngs[Recording]=Rcrdngs[[#This Row],[Text]],"[no subject selected in Subjects_in_Recordings]"))</f>
        <v>Childbirth, Women's work</v>
      </c>
      <c r="F68" s="18">
        <v>44661</v>
      </c>
      <c r="G68" s="134" t="s">
        <v>238</v>
      </c>
      <c r="H68" s="49" t="s">
        <v>31</v>
      </c>
      <c r="I68" s="49" t="s">
        <v>32</v>
      </c>
      <c r="J68" s="153" t="s">
        <v>32</v>
      </c>
      <c r="K68" s="153" t="s">
        <v>33</v>
      </c>
      <c r="L68" s="61" t="s">
        <v>34</v>
      </c>
      <c r="M68" s="20" t="s">
        <v>35</v>
      </c>
      <c r="N68" s="20" t="s">
        <v>36</v>
      </c>
      <c r="O68" s="21"/>
      <c r="P68" s="21"/>
      <c r="Q68" s="21"/>
      <c r="R68" s="21"/>
      <c r="S68" s="21"/>
      <c r="T68" s="21"/>
      <c r="U68" s="20" t="s">
        <v>68</v>
      </c>
      <c r="V68" s="22"/>
      <c r="W68" s="23"/>
      <c r="X68" s="24"/>
      <c r="Y68" s="76" t="s">
        <v>39</v>
      </c>
      <c r="Z68" s="76"/>
      <c r="AA68" s="162" t="s">
        <v>239</v>
      </c>
    </row>
    <row r="69" spans="1:27" ht="15" customHeight="1">
      <c r="A69" s="35" t="s">
        <v>240</v>
      </c>
      <c r="B69" s="27"/>
      <c r="C69" s="45" t="s">
        <v>66</v>
      </c>
      <c r="D69" s="17" t="str" cm="1">
        <f t="array" ref="D69">_xlfn.TEXTJOIN(", ", TRUE(), _xlfn._xlws.FILTER(Speakers_in_Recordings!$B$2:$B$1502,Speakers_in_Recordings!$A$2:$A$1502=Rcrdngs[[#This Row],[Text]],"[no speaker selected in Speakers_in_Recordings]"))</f>
        <v>KUW_2022_Speaker13, KUW_2022_Speaker14, KUW_2022_Gunda, KUW_2022_Inas</v>
      </c>
      <c r="E69" s="17" t="str" cm="1">
        <f t="array" ref="E69">_xlfn.TEXTJOIN(", ", TRUE(), _xlfn._xlws.FILTER(Sbcts_Rcrdngs[Subject],Sbcts_Rcrdngs[Recording]=Rcrdngs[[#This Row],[Text]],"[no subject selected in Subjects_in_Recordings]"))</f>
        <v>Marriage</v>
      </c>
      <c r="F69" s="18">
        <v>44661</v>
      </c>
      <c r="G69" s="134" t="s">
        <v>241</v>
      </c>
      <c r="H69" s="49" t="s">
        <v>31</v>
      </c>
      <c r="I69" s="49" t="s">
        <v>32</v>
      </c>
      <c r="J69" s="153" t="s">
        <v>32</v>
      </c>
      <c r="K69" s="153" t="s">
        <v>33</v>
      </c>
      <c r="L69" s="61" t="s">
        <v>34</v>
      </c>
      <c r="M69" s="20" t="s">
        <v>35</v>
      </c>
      <c r="N69" s="20" t="s">
        <v>36</v>
      </c>
      <c r="O69" s="21"/>
      <c r="P69" s="21"/>
      <c r="Q69" s="21"/>
      <c r="R69" s="21"/>
      <c r="S69" s="21"/>
      <c r="T69" s="21"/>
      <c r="U69" s="20" t="s">
        <v>68</v>
      </c>
      <c r="V69" s="22"/>
      <c r="W69" s="23"/>
      <c r="X69" s="24"/>
      <c r="Y69" s="76" t="s">
        <v>39</v>
      </c>
      <c r="Z69" s="76"/>
      <c r="AA69" s="162" t="s">
        <v>242</v>
      </c>
    </row>
    <row r="70" spans="1:27" ht="15" customHeight="1">
      <c r="A70" s="35" t="s">
        <v>243</v>
      </c>
      <c r="B70" s="27"/>
      <c r="C70" s="45" t="s">
        <v>66</v>
      </c>
      <c r="D70" s="17" t="str" cm="1">
        <f t="array" ref="D70">_xlfn.TEXTJOIN(", ", TRUE(), _xlfn._xlws.FILTER(Speakers_in_Recordings!$B$2:$B$1502,Speakers_in_Recordings!$A$2:$A$1502=Rcrdngs[[#This Row],[Text]],"[no speaker selected in Speakers_in_Recordings]"))</f>
        <v>KUW_2022_Speaker13, KUW_2022_Speaker14, KUW_2022_Gunda, KUW_2022_Inas</v>
      </c>
      <c r="E70" s="17" t="str" cm="1">
        <f t="array" ref="E70">_xlfn.TEXTJOIN(", ", TRUE(), _xlfn._xlws.FILTER(Sbcts_Rcrdngs[Subject],Sbcts_Rcrdngs[Recording]=Rcrdngs[[#This Row],[Text]],"[no subject selected in Subjects_in_Recordings]"))</f>
        <v>Lexicon</v>
      </c>
      <c r="F70" s="18">
        <v>44661</v>
      </c>
      <c r="G70" s="134" t="s">
        <v>244</v>
      </c>
      <c r="H70" s="49" t="s">
        <v>31</v>
      </c>
      <c r="I70" s="49" t="s">
        <v>32</v>
      </c>
      <c r="J70" s="153" t="s">
        <v>32</v>
      </c>
      <c r="K70" s="153" t="s">
        <v>33</v>
      </c>
      <c r="L70" s="61" t="s">
        <v>34</v>
      </c>
      <c r="M70" s="20" t="s">
        <v>35</v>
      </c>
      <c r="N70" s="20" t="s">
        <v>36</v>
      </c>
      <c r="O70" s="21"/>
      <c r="P70" s="21"/>
      <c r="Q70" s="21"/>
      <c r="R70" s="21"/>
      <c r="S70" s="21"/>
      <c r="T70" s="21"/>
      <c r="U70" s="20" t="s">
        <v>68</v>
      </c>
      <c r="V70" s="22"/>
      <c r="W70" s="23"/>
      <c r="X70" s="24"/>
      <c r="Y70" s="76" t="s">
        <v>39</v>
      </c>
      <c r="Z70" s="76"/>
      <c r="AA70" s="162" t="s">
        <v>245</v>
      </c>
    </row>
    <row r="71" spans="1:27" ht="15" customHeight="1">
      <c r="A71" s="122" t="s">
        <v>246</v>
      </c>
      <c r="B71" s="27"/>
      <c r="C71" s="45" t="s">
        <v>66</v>
      </c>
      <c r="D71" s="17" t="str" cm="1">
        <f t="array" ref="D71">_xlfn.TEXTJOIN(", ", TRUE(), _xlfn._xlws.FILTER(Speakers_in_Recordings!$B$2:$B$1502,Speakers_in_Recordings!$A$2:$A$1502=Rcrdngs[[#This Row],[Text]],"[no speaker selected in Speakers_in_Recordings]"))</f>
        <v>KUW_2022_Speaker4</v>
      </c>
      <c r="E71" s="17" t="str" cm="1">
        <f t="array" ref="E71">_xlfn.TEXTJOIN(", ", TRUE(), _xlfn._xlws.FILTER(Sbcts_Rcrdngs[Subject],Sbcts_Rcrdngs[Recording]=Rcrdngs[[#This Row],[Text]],"[no subject selected in Subjects_in_Recordings]"))</f>
        <v>Visual elicitation</v>
      </c>
      <c r="F71" s="18">
        <v>44692</v>
      </c>
      <c r="G71" s="134" t="s">
        <v>247</v>
      </c>
      <c r="H71" s="49" t="s">
        <v>31</v>
      </c>
      <c r="I71" s="49" t="s">
        <v>32</v>
      </c>
      <c r="J71" s="153" t="s">
        <v>32</v>
      </c>
      <c r="K71" s="153" t="s">
        <v>33</v>
      </c>
      <c r="L71" s="61" t="s">
        <v>34</v>
      </c>
      <c r="M71" s="20" t="s">
        <v>35</v>
      </c>
      <c r="N71" s="20" t="s">
        <v>36</v>
      </c>
      <c r="O71" s="21"/>
      <c r="P71" s="21"/>
      <c r="Q71" s="21"/>
      <c r="R71" s="21"/>
      <c r="S71" s="21"/>
      <c r="T71" s="21"/>
      <c r="U71" s="20" t="s">
        <v>68</v>
      </c>
      <c r="V71" s="22"/>
      <c r="W71" s="23"/>
      <c r="X71" s="24"/>
      <c r="Y71" s="76" t="s">
        <v>87</v>
      </c>
      <c r="Z71" s="76"/>
      <c r="AA71" s="162" t="s">
        <v>248</v>
      </c>
    </row>
    <row r="72" spans="1:27" ht="15" customHeight="1">
      <c r="A72" s="35" t="s">
        <v>249</v>
      </c>
      <c r="B72" s="27" t="s">
        <v>250</v>
      </c>
      <c r="C72" s="45" t="s">
        <v>29</v>
      </c>
      <c r="D72" s="17" t="str" cm="1">
        <f t="array" ref="D72">_xlfn.TEXTJOIN(", ", TRUE(), _xlfn._xlws.FILTER(Speakers_in_Recordings!$B$2:$B$1502,Speakers_in_Recordings!$A$2:$A$1502=Rcrdngs[[#This Row],[Text]],"[no speaker selected in Speakers_in_Recordings]"))</f>
        <v>SAU_2022_Speaker28, SAU_2022_Speaker9, SAU_2022_Gunda, SAU_2022_Speaker1</v>
      </c>
      <c r="E72" s="17" t="str" cm="1">
        <f t="array" ref="E72">_xlfn.TEXTJOIN(", ", TRUE(), _xlfn._xlws.FILTER(Sbcts_Rcrdngs[Subject],Sbcts_Rcrdngs[Recording]=Rcrdngs[[#This Row],[Text]],"[no subject selected in Subjects_in_Recordings]"))</f>
        <v>Childhood</v>
      </c>
      <c r="F72" s="18">
        <v>44636</v>
      </c>
      <c r="G72" s="134" t="s">
        <v>251</v>
      </c>
      <c r="H72" s="49" t="s">
        <v>31</v>
      </c>
      <c r="I72" s="19" t="s">
        <v>46</v>
      </c>
      <c r="J72" s="153" t="s">
        <v>32</v>
      </c>
      <c r="K72" s="153" t="s">
        <v>33</v>
      </c>
      <c r="L72" s="61" t="s">
        <v>34</v>
      </c>
      <c r="M72" s="20" t="s">
        <v>35</v>
      </c>
      <c r="N72" s="20" t="s">
        <v>36</v>
      </c>
      <c r="O72" s="21"/>
      <c r="P72" s="21"/>
      <c r="Q72" s="21"/>
      <c r="R72" s="21"/>
      <c r="S72" s="21"/>
      <c r="T72" s="21"/>
      <c r="U72" s="32" t="s">
        <v>62</v>
      </c>
      <c r="V72" s="22"/>
      <c r="W72" s="23"/>
      <c r="X72" s="24"/>
      <c r="Y72" s="76" t="s">
        <v>39</v>
      </c>
      <c r="Z72" s="76"/>
      <c r="AA72" s="162" t="s">
        <v>252</v>
      </c>
    </row>
    <row r="73" spans="1:27" ht="15" customHeight="1">
      <c r="A73" s="35" t="s">
        <v>253</v>
      </c>
      <c r="B73" s="27" t="s">
        <v>254</v>
      </c>
      <c r="C73" s="45" t="s">
        <v>29</v>
      </c>
      <c r="D73" s="17" t="str" cm="1">
        <f t="array" ref="D73">_xlfn.TEXTJOIN(", ", TRUE(), _xlfn._xlws.FILTER(Speakers_in_Recordings!$B$2:$B$1502,Speakers_in_Recordings!$A$2:$A$1502=Rcrdngs[[#This Row],[Text]],"[no speaker selected in Speakers_in_Recordings]"))</f>
        <v>SAU_2022_Speaker28, SAU_2022_Speaker9, SAU_2022_Gunda, SAU_2022_Speaker1</v>
      </c>
      <c r="E73" s="17" t="str" cm="1">
        <f t="array" ref="E73">_xlfn.TEXTJOIN(", ", TRUE(), _xlfn._xlws.FILTER(Sbcts_Rcrdngs[Subject],Sbcts_Rcrdngs[Recording]=Rcrdngs[[#This Row],[Text]],"[no subject selected in Subjects_in_Recordings]"))</f>
        <v>Childhood</v>
      </c>
      <c r="F73" s="18">
        <v>44636</v>
      </c>
      <c r="G73" s="134" t="s">
        <v>255</v>
      </c>
      <c r="H73" s="49" t="s">
        <v>31</v>
      </c>
      <c r="I73" s="19" t="s">
        <v>46</v>
      </c>
      <c r="J73" s="153" t="s">
        <v>32</v>
      </c>
      <c r="K73" s="153" t="s">
        <v>33</v>
      </c>
      <c r="L73" s="61" t="s">
        <v>34</v>
      </c>
      <c r="M73" s="20" t="s">
        <v>35</v>
      </c>
      <c r="N73" s="20" t="s">
        <v>36</v>
      </c>
      <c r="O73" s="21"/>
      <c r="P73" s="21"/>
      <c r="Q73" s="21"/>
      <c r="R73" s="21"/>
      <c r="S73" s="21"/>
      <c r="T73" s="21"/>
      <c r="U73" s="32" t="s">
        <v>62</v>
      </c>
      <c r="V73" s="22"/>
      <c r="W73" s="23"/>
      <c r="X73" s="24"/>
      <c r="Y73" s="76" t="s">
        <v>39</v>
      </c>
      <c r="Z73" s="76"/>
      <c r="AA73" s="162" t="s">
        <v>256</v>
      </c>
    </row>
    <row r="74" spans="1:27" ht="15" customHeight="1">
      <c r="A74" s="35" t="s">
        <v>257</v>
      </c>
      <c r="B74" s="27" t="s">
        <v>258</v>
      </c>
      <c r="C74" s="45" t="s">
        <v>29</v>
      </c>
      <c r="D74" s="17" t="str" cm="1">
        <f t="array" ref="D74">_xlfn.TEXTJOIN(", ", TRUE(), _xlfn._xlws.FILTER(Speakers_in_Recordings!$B$2:$B$1502,Speakers_in_Recordings!$A$2:$A$1502=Rcrdngs[[#This Row],[Text]],"[no speaker selected in Speakers_in_Recordings]"))</f>
        <v>SAU_2022_Gunda, SAU_2022_Speaker1, SAU_2022_Speaker28</v>
      </c>
      <c r="E74" s="17" t="str" cm="1">
        <f t="array" ref="E74">_xlfn.TEXTJOIN(", ", TRUE(), _xlfn._xlws.FILTER(Sbcts_Rcrdngs[Subject],Sbcts_Rcrdngs[Recording]=Rcrdngs[[#This Row],[Text]],"[no subject selected in Subjects_in_Recordings]"))</f>
        <v>Childhood</v>
      </c>
      <c r="F74" s="18">
        <v>44636</v>
      </c>
      <c r="G74" s="134" t="s">
        <v>259</v>
      </c>
      <c r="H74" s="49" t="s">
        <v>31</v>
      </c>
      <c r="I74" s="19" t="s">
        <v>46</v>
      </c>
      <c r="J74" s="153" t="s">
        <v>32</v>
      </c>
      <c r="K74" s="153" t="s">
        <v>33</v>
      </c>
      <c r="L74" s="61" t="s">
        <v>34</v>
      </c>
      <c r="M74" s="20" t="s">
        <v>35</v>
      </c>
      <c r="N74" s="20" t="s">
        <v>36</v>
      </c>
      <c r="O74" s="21"/>
      <c r="P74" s="21"/>
      <c r="Q74" s="21"/>
      <c r="R74" s="21"/>
      <c r="S74" s="21"/>
      <c r="T74" s="21"/>
      <c r="U74" s="32" t="s">
        <v>62</v>
      </c>
      <c r="V74" s="22"/>
      <c r="W74" s="23"/>
      <c r="X74" s="24"/>
      <c r="Y74" s="76" t="s">
        <v>39</v>
      </c>
      <c r="Z74" s="76"/>
      <c r="AA74" s="162" t="s">
        <v>260</v>
      </c>
    </row>
    <row r="75" spans="1:27" ht="15" customHeight="1">
      <c r="A75" s="35" t="s">
        <v>261</v>
      </c>
      <c r="B75" s="27" t="s">
        <v>262</v>
      </c>
      <c r="C75" s="45" t="s">
        <v>29</v>
      </c>
      <c r="D75" s="17" t="str" cm="1">
        <f t="array" ref="D75">_xlfn.TEXTJOIN(", ", TRUE(), _xlfn._xlws.FILTER(Speakers_in_Recordings!$B$2:$B$1502,Speakers_in_Recordings!$A$2:$A$1502=Rcrdngs[[#This Row],[Text]],"[no speaker selected in Speakers_in_Recordings]"))</f>
        <v>SAU_2022_Speaker1, SAU_2022_Speaker28, SAU_2022_Speaker9, SAU_2022_Gunda</v>
      </c>
      <c r="E75" s="17" t="str" cm="1">
        <f t="array" ref="E75">_xlfn.TEXTJOIN(", ", TRUE(), _xlfn._xlws.FILTER(Sbcts_Rcrdngs[Subject],Sbcts_Rcrdngs[Recording]=Rcrdngs[[#This Row],[Text]],"[no subject selected in Subjects_in_Recordings]"))</f>
        <v>Childhood</v>
      </c>
      <c r="F75" s="18">
        <v>44636</v>
      </c>
      <c r="G75" s="134" t="s">
        <v>263</v>
      </c>
      <c r="H75" s="49" t="s">
        <v>31</v>
      </c>
      <c r="I75" s="19" t="s">
        <v>46</v>
      </c>
      <c r="J75" s="153" t="s">
        <v>32</v>
      </c>
      <c r="K75" s="153" t="s">
        <v>33</v>
      </c>
      <c r="L75" s="61" t="s">
        <v>34</v>
      </c>
      <c r="M75" s="20" t="s">
        <v>35</v>
      </c>
      <c r="N75" s="20" t="s">
        <v>36</v>
      </c>
      <c r="O75" s="21"/>
      <c r="P75" s="21"/>
      <c r="Q75" s="21"/>
      <c r="R75" s="21"/>
      <c r="S75" s="21"/>
      <c r="T75" s="21"/>
      <c r="U75" s="32" t="s">
        <v>62</v>
      </c>
      <c r="V75" s="22"/>
      <c r="W75" s="23"/>
      <c r="X75" s="24"/>
      <c r="Y75" s="76" t="s">
        <v>39</v>
      </c>
      <c r="Z75" s="76"/>
      <c r="AA75" s="162" t="s">
        <v>264</v>
      </c>
    </row>
    <row r="76" spans="1:27" ht="15" customHeight="1">
      <c r="A76" s="35" t="s">
        <v>265</v>
      </c>
      <c r="B76" s="27"/>
      <c r="C76" s="45" t="s">
        <v>29</v>
      </c>
      <c r="D76" s="17" t="str" cm="1">
        <f t="array" ref="D76">_xlfn.TEXTJOIN(", ", TRUE(), _xlfn._xlws.FILTER(Speakers_in_Recordings!$B$2:$B$1502,Speakers_in_Recordings!$A$2:$A$1502=Rcrdngs[[#This Row],[Text]],"[no speaker selected in Speakers_in_Recordings]"))</f>
        <v>SAU_2022_Speaker1, SAU_2022_Speaker28, SAU_2022_Speaker9, SAU_2022_Gunda</v>
      </c>
      <c r="E76" s="17" t="str" cm="1">
        <f t="array" ref="E76">_xlfn.TEXTJOIN(", ", TRUE(), _xlfn._xlws.FILTER(Sbcts_Rcrdngs[Subject],Sbcts_Rcrdngs[Recording]=Rcrdngs[[#This Row],[Text]],"[no subject selected in Subjects_in_Recordings]"))</f>
        <v>Childhood</v>
      </c>
      <c r="F76" s="18">
        <v>44636</v>
      </c>
      <c r="G76" s="134" t="s">
        <v>266</v>
      </c>
      <c r="H76" s="49" t="s">
        <v>31</v>
      </c>
      <c r="I76" s="19" t="s">
        <v>46</v>
      </c>
      <c r="J76" s="153" t="s">
        <v>32</v>
      </c>
      <c r="K76" s="153" t="s">
        <v>33</v>
      </c>
      <c r="L76" s="61" t="s">
        <v>34</v>
      </c>
      <c r="M76" s="20" t="s">
        <v>35</v>
      </c>
      <c r="N76" s="20" t="s">
        <v>36</v>
      </c>
      <c r="O76" s="21"/>
      <c r="P76" s="21"/>
      <c r="Q76" s="21"/>
      <c r="R76" s="21"/>
      <c r="S76" s="21"/>
      <c r="T76" s="21"/>
      <c r="U76" s="32" t="s">
        <v>62</v>
      </c>
      <c r="V76" s="22"/>
      <c r="W76" s="23"/>
      <c r="X76" s="24"/>
      <c r="Y76" s="76" t="s">
        <v>39</v>
      </c>
      <c r="Z76" s="76"/>
      <c r="AA76" s="162" t="s">
        <v>267</v>
      </c>
    </row>
    <row r="77" spans="1:27" ht="15" customHeight="1">
      <c r="A77" s="35" t="s">
        <v>268</v>
      </c>
      <c r="B77" s="145" t="s">
        <v>269</v>
      </c>
      <c r="C77" s="45" t="s">
        <v>29</v>
      </c>
      <c r="D77" s="17" t="str" cm="1">
        <f t="array" ref="D77">_xlfn.TEXTJOIN(", ", TRUE(), _xlfn._xlws.FILTER(Speakers_in_Recordings!$B$2:$B$1502,Speakers_in_Recordings!$A$2:$A$1502=Rcrdngs[[#This Row],[Text]],"[no speaker selected in Speakers_in_Recordings]"))</f>
        <v>SAU_2022_Speaker9, SAU_2022_Speaker44, SAU_2022_Gunda</v>
      </c>
      <c r="E77" s="17" t="str" cm="1">
        <f t="array" ref="E77">_xlfn.TEXTJOIN(", ", TRUE(), _xlfn._xlws.FILTER(Sbcts_Rcrdngs[Subject],Sbcts_Rcrdngs[Recording]=Rcrdngs[[#This Row],[Text]],"[no subject selected in Subjects_in_Recordings]"))</f>
        <v>Falcons</v>
      </c>
      <c r="F77" s="18">
        <v>44635</v>
      </c>
      <c r="G77" s="134" t="s">
        <v>270</v>
      </c>
      <c r="H77" s="19" t="s">
        <v>31</v>
      </c>
      <c r="I77" s="19" t="s">
        <v>46</v>
      </c>
      <c r="J77" s="153" t="s">
        <v>32</v>
      </c>
      <c r="K77" s="153" t="s">
        <v>33</v>
      </c>
      <c r="L77" s="61" t="s">
        <v>34</v>
      </c>
      <c r="M77" s="20" t="s">
        <v>35</v>
      </c>
      <c r="N77" s="20" t="s">
        <v>36</v>
      </c>
      <c r="O77" s="21"/>
      <c r="P77" s="21"/>
      <c r="Q77" s="21"/>
      <c r="R77" s="21"/>
      <c r="S77" s="21"/>
      <c r="T77" s="21"/>
      <c r="U77" s="20" t="s">
        <v>37</v>
      </c>
      <c r="V77" s="22"/>
      <c r="W77" s="23"/>
      <c r="X77" s="24"/>
      <c r="Y77" s="76" t="s">
        <v>39</v>
      </c>
      <c r="Z77" s="76"/>
      <c r="AA77" s="162"/>
    </row>
    <row r="78" spans="1:27" ht="15" customHeight="1">
      <c r="A78" s="35" t="s">
        <v>269</v>
      </c>
      <c r="B78" s="27"/>
      <c r="C78" s="45" t="s">
        <v>29</v>
      </c>
      <c r="D78" s="17" t="str" cm="1">
        <f t="array" ref="D78">_xlfn.TEXTJOIN(", ", TRUE(), _xlfn._xlws.FILTER(Speakers_in_Recordings!$B$2:$B$1502,Speakers_in_Recordings!$A$2:$A$1502=Rcrdngs[[#This Row],[Text]],"[no speaker selected in Speakers_in_Recordings]"))</f>
        <v>SAU_2022_Speaker9, SAU_2022_Speaker44, SAU_2022_Gunda</v>
      </c>
      <c r="E78" s="17" t="str" cm="1">
        <f t="array" ref="E78">_xlfn.TEXTJOIN(", ", TRUE(), _xlfn._xlws.FILTER(Sbcts_Rcrdngs[Subject],Sbcts_Rcrdngs[Recording]=Rcrdngs[[#This Row],[Text]],"[no subject selected in Subjects_in_Recordings]"))</f>
        <v>Falcons</v>
      </c>
      <c r="F78" s="18">
        <v>44635</v>
      </c>
      <c r="G78" s="134" t="s">
        <v>271</v>
      </c>
      <c r="H78" s="19" t="s">
        <v>31</v>
      </c>
      <c r="I78" s="19" t="s">
        <v>46</v>
      </c>
      <c r="J78" s="153" t="s">
        <v>32</v>
      </c>
      <c r="K78" s="153" t="s">
        <v>33</v>
      </c>
      <c r="L78" s="61" t="s">
        <v>34</v>
      </c>
      <c r="M78" s="20" t="s">
        <v>35</v>
      </c>
      <c r="N78" s="20" t="s">
        <v>36</v>
      </c>
      <c r="O78" s="21"/>
      <c r="P78" s="21"/>
      <c r="Q78" s="21"/>
      <c r="R78" s="21"/>
      <c r="S78" s="21"/>
      <c r="T78" s="21"/>
      <c r="U78" s="20" t="s">
        <v>37</v>
      </c>
      <c r="V78" s="22"/>
      <c r="W78" s="23"/>
      <c r="X78" s="24"/>
      <c r="Y78" s="76" t="s">
        <v>39</v>
      </c>
      <c r="Z78" s="76"/>
      <c r="AA78" s="76"/>
    </row>
    <row r="79" spans="1:27" ht="15" customHeight="1">
      <c r="A79" s="35"/>
      <c r="B79" s="27"/>
      <c r="C79" s="45"/>
      <c r="D79" s="17" t="str" cm="1">
        <f t="array" ref="D79">_xlfn.TEXTJOIN(", ", TRUE(), _xlfn._xlws.FILTER(Speakers_in_Recordings!$B$2:$B$1502,Speakers_in_Recordings!$A$2:$A$1502=Rcrdngs[[#This Row],[Text]],"[no speaker selected in Speakers_in_Recordings]"))</f>
        <v/>
      </c>
      <c r="E79" s="17" t="str" cm="1">
        <f t="array" ref="E79">_xlfn.TEXTJOIN(", ", TRUE(), _xlfn._xlws.FILTER(Sbcts_Rcrdngs[Subject],Sbcts_Rcrdngs[Recording]=Rcrdngs[[#This Row],[Text]],"[no subject selected in Subjects_in_Recordings]"))</f>
        <v/>
      </c>
      <c r="F79" s="18"/>
      <c r="G79" s="19"/>
      <c r="H79" s="19"/>
      <c r="I79" s="19"/>
      <c r="J79" s="178"/>
      <c r="K79" s="178"/>
      <c r="L79" s="61"/>
      <c r="M79" s="20"/>
      <c r="N79" s="20"/>
      <c r="O79" s="21"/>
      <c r="P79" s="21"/>
      <c r="Q79" s="21"/>
      <c r="R79" s="21"/>
      <c r="S79" s="21"/>
      <c r="T79" s="21"/>
      <c r="U79" s="20"/>
      <c r="V79" s="22"/>
      <c r="W79" s="23"/>
      <c r="X79" s="24"/>
      <c r="Y79" s="76"/>
      <c r="Z79" s="76"/>
      <c r="AA79" s="76">
        <f>Rcrdngs[[#This Row],[Text]]</f>
        <v>0</v>
      </c>
    </row>
    <row r="80" spans="1:27" ht="15" customHeight="1">
      <c r="A80" s="35" t="s">
        <v>272</v>
      </c>
      <c r="B80" s="27"/>
      <c r="C80" s="45" t="s">
        <v>66</v>
      </c>
      <c r="D80" s="17" t="str" cm="1">
        <f t="array" ref="D80">_xlfn.TEXTJOIN(", ", TRUE(), _xlfn._xlws.FILTER(Speakers_in_Recordings!$B$2:$B$1502,Speakers_in_Recordings!$A$2:$A$1502=Rcrdngs[[#This Row],[Text]],"[no speaker selected in Speakers_in_Recordings]"))</f>
        <v>KUW_2022_Speaker10</v>
      </c>
      <c r="E80" s="17" t="str" cm="1">
        <f t="array" ref="E80">_xlfn.TEXTJOIN(", ", TRUE(), _xlfn._xlws.FILTER(Sbcts_Rcrdngs[Subject],Sbcts_Rcrdngs[Recording]=Rcrdngs[[#This Row],[Text]],"[no subject selected in Subjects_in_Recordings]"))</f>
        <v>[no subject selected in Subjects_in_Recordings]</v>
      </c>
      <c r="F80" s="18">
        <v>44696</v>
      </c>
      <c r="G80" s="157" t="s">
        <v>273</v>
      </c>
      <c r="H80" s="19" t="s">
        <v>274</v>
      </c>
      <c r="I80" s="19" t="s">
        <v>32</v>
      </c>
      <c r="J80" s="178"/>
      <c r="K80" s="153"/>
      <c r="L80" s="61"/>
      <c r="M80" s="20" t="s">
        <v>35</v>
      </c>
      <c r="N80" s="20"/>
      <c r="O80" s="21"/>
      <c r="P80" s="21"/>
      <c r="Q80" s="21"/>
      <c r="R80" s="21"/>
      <c r="S80" s="21"/>
      <c r="T80" s="21"/>
      <c r="U80" s="20" t="s">
        <v>68</v>
      </c>
      <c r="V80" s="22"/>
      <c r="W80" s="23"/>
      <c r="X80" s="24"/>
      <c r="Y80" s="76" t="s">
        <v>87</v>
      </c>
      <c r="Z80" s="76"/>
      <c r="AA80" s="162" t="s">
        <v>275</v>
      </c>
    </row>
    <row r="81" spans="1:27" ht="15" customHeight="1">
      <c r="A81" s="35" t="s">
        <v>276</v>
      </c>
      <c r="B81" s="27"/>
      <c r="C81" s="45" t="s">
        <v>66</v>
      </c>
      <c r="D81" s="17" t="str" cm="1">
        <f t="array" ref="D81">_xlfn.TEXTJOIN(", ", TRUE(), _xlfn._xlws.FILTER(Speakers_in_Recordings!$B$2:$B$1502,Speakers_in_Recordings!$A$2:$A$1502=Rcrdngs[[#This Row],[Text]],"[no speaker selected in Speakers_in_Recordings]"))</f>
        <v>KUW_2022_Speaker10</v>
      </c>
      <c r="E81" s="17" t="str" cm="1">
        <f t="array" ref="E81">_xlfn.TEXTJOIN(", ", TRUE(), _xlfn._xlws.FILTER(Sbcts_Rcrdngs[Subject],Sbcts_Rcrdngs[Recording]=Rcrdngs[[#This Row],[Text]],"[no subject selected in Subjects_in_Recordings]"))</f>
        <v>[no subject selected in Subjects_in_Recordings]</v>
      </c>
      <c r="F81" s="18">
        <v>44696</v>
      </c>
      <c r="G81" s="157" t="s">
        <v>277</v>
      </c>
      <c r="H81" s="19" t="s">
        <v>274</v>
      </c>
      <c r="I81" s="19" t="s">
        <v>32</v>
      </c>
      <c r="J81" s="178"/>
      <c r="K81" s="153"/>
      <c r="L81" s="61"/>
      <c r="M81" s="20" t="s">
        <v>35</v>
      </c>
      <c r="N81" s="20"/>
      <c r="O81" s="21"/>
      <c r="P81" s="21"/>
      <c r="Q81" s="21"/>
      <c r="R81" s="21"/>
      <c r="S81" s="21"/>
      <c r="T81" s="21"/>
      <c r="U81" s="20" t="s">
        <v>68</v>
      </c>
      <c r="V81" s="22"/>
      <c r="W81" s="23"/>
      <c r="X81" s="24"/>
      <c r="Y81" s="76" t="s">
        <v>87</v>
      </c>
      <c r="Z81" s="76"/>
      <c r="AA81" s="162" t="s">
        <v>278</v>
      </c>
    </row>
    <row r="82" spans="1:27" ht="15" customHeight="1">
      <c r="A82" s="35" t="s">
        <v>279</v>
      </c>
      <c r="B82" s="27"/>
      <c r="C82" s="45" t="s">
        <v>66</v>
      </c>
      <c r="D82" s="17" t="str" cm="1">
        <f t="array" ref="D82">_xlfn.TEXTJOIN(", ", TRUE(), _xlfn._xlws.FILTER(Speakers_in_Recordings!$B$2:$B$1502,Speakers_in_Recordings!$A$2:$A$1502=Rcrdngs[[#This Row],[Text]],"[no speaker selected in Speakers_in_Recordings]"))</f>
        <v>KUW_2022_Speaker4</v>
      </c>
      <c r="E82" s="17" t="str" cm="1">
        <f t="array" ref="E82">_xlfn.TEXTJOIN(", ", TRUE(), _xlfn._xlws.FILTER(Sbcts_Rcrdngs[Subject],Sbcts_Rcrdngs[Recording]=Rcrdngs[[#This Row],[Text]],"[no subject selected in Subjects_in_Recordings]"))</f>
        <v>Visual elicitation</v>
      </c>
      <c r="F82" s="18">
        <v>44692</v>
      </c>
      <c r="G82" s="157" t="s">
        <v>280</v>
      </c>
      <c r="H82" s="19" t="s">
        <v>274</v>
      </c>
      <c r="I82" s="19" t="s">
        <v>46</v>
      </c>
      <c r="J82" s="178"/>
      <c r="K82" s="153"/>
      <c r="L82" s="61"/>
      <c r="M82" s="20" t="s">
        <v>35</v>
      </c>
      <c r="N82" s="20"/>
      <c r="O82" s="21"/>
      <c r="P82" s="21"/>
      <c r="Q82" s="21"/>
      <c r="R82" s="21"/>
      <c r="S82" s="21"/>
      <c r="T82" s="21"/>
      <c r="U82" s="20" t="s">
        <v>68</v>
      </c>
      <c r="V82" s="22"/>
      <c r="W82" s="23"/>
      <c r="X82" s="24"/>
      <c r="Y82" s="76" t="s">
        <v>87</v>
      </c>
      <c r="Z82" s="76"/>
      <c r="AA82" s="162" t="s">
        <v>281</v>
      </c>
    </row>
    <row r="83" spans="1:27" ht="15" customHeight="1">
      <c r="A83" s="35" t="s">
        <v>282</v>
      </c>
      <c r="B83" s="27"/>
      <c r="C83" s="45" t="s">
        <v>66</v>
      </c>
      <c r="D83" s="17" t="str" cm="1">
        <f t="array" ref="D83">_xlfn.TEXTJOIN(", ", TRUE(), _xlfn._xlws.FILTER(Speakers_in_Recordings!$B$2:$B$1502,Speakers_in_Recordings!$A$2:$A$1502=Rcrdngs[[#This Row],[Text]],"[no speaker selected in Speakers_in_Recordings]"))</f>
        <v>KUW_2022_Speaker9</v>
      </c>
      <c r="E83" s="17" t="str" cm="1">
        <f t="array" ref="E83">_xlfn.TEXTJOIN(", ", TRUE(), _xlfn._xlws.FILTER(Sbcts_Rcrdngs[Subject],Sbcts_Rcrdngs[Recording]=Rcrdngs[[#This Row],[Text]],"[no subject selected in Subjects_in_Recordings]"))</f>
        <v>[no subject selected in Subjects_in_Recordings]</v>
      </c>
      <c r="F83" s="18">
        <v>44691</v>
      </c>
      <c r="G83" s="157" t="s">
        <v>283</v>
      </c>
      <c r="H83" s="19" t="s">
        <v>274</v>
      </c>
      <c r="I83" s="19" t="s">
        <v>32</v>
      </c>
      <c r="J83" s="178"/>
      <c r="K83" s="153"/>
      <c r="L83" s="61"/>
      <c r="M83" s="20" t="s">
        <v>35</v>
      </c>
      <c r="N83" s="20"/>
      <c r="O83" s="21"/>
      <c r="P83" s="21"/>
      <c r="Q83" s="21"/>
      <c r="R83" s="21"/>
      <c r="S83" s="21"/>
      <c r="T83" s="21"/>
      <c r="U83" s="20" t="s">
        <v>68</v>
      </c>
      <c r="V83" s="22"/>
      <c r="W83" s="23"/>
      <c r="X83" s="24"/>
      <c r="Y83" s="76" t="s">
        <v>39</v>
      </c>
      <c r="Z83" s="76"/>
      <c r="AA83" s="162" t="s">
        <v>284</v>
      </c>
    </row>
    <row r="84" spans="1:27" ht="15" customHeight="1">
      <c r="A84" s="35" t="s">
        <v>285</v>
      </c>
      <c r="B84" s="27"/>
      <c r="C84" s="45" t="s">
        <v>66</v>
      </c>
      <c r="D84" s="17" t="str" cm="1">
        <f t="array" ref="D84">_xlfn.TEXTJOIN(", ", TRUE(), _xlfn._xlws.FILTER(Speakers_in_Recordings!$B$2:$B$1502,Speakers_in_Recordings!$A$2:$A$1502=Rcrdngs[[#This Row],[Text]],"[no speaker selected in Speakers_in_Recordings]"))</f>
        <v>KUW_2022_Speaker12</v>
      </c>
      <c r="E84" s="17" t="str" cm="1">
        <f t="array" ref="E84">_xlfn.TEXTJOIN(", ", TRUE(), _xlfn._xlws.FILTER(Sbcts_Rcrdngs[Subject],Sbcts_Rcrdngs[Recording]=Rcrdngs[[#This Row],[Text]],"[no subject selected in Subjects_in_Recordings]"))</f>
        <v>[no subject selected in Subjects_in_Recordings]</v>
      </c>
      <c r="F84" s="18">
        <v>44702</v>
      </c>
      <c r="G84" s="157" t="s">
        <v>286</v>
      </c>
      <c r="H84" s="19" t="s">
        <v>274</v>
      </c>
      <c r="I84" s="19" t="s">
        <v>32</v>
      </c>
      <c r="J84" s="178"/>
      <c r="K84" s="153"/>
      <c r="L84" s="61"/>
      <c r="M84" s="20" t="s">
        <v>35</v>
      </c>
      <c r="N84" s="20"/>
      <c r="O84" s="21"/>
      <c r="P84" s="21"/>
      <c r="Q84" s="21"/>
      <c r="R84" s="21"/>
      <c r="S84" s="21"/>
      <c r="T84" s="21"/>
      <c r="U84" s="20" t="s">
        <v>68</v>
      </c>
      <c r="V84" s="22"/>
      <c r="W84" s="23"/>
      <c r="X84" s="24"/>
      <c r="Y84" s="76" t="s">
        <v>39</v>
      </c>
      <c r="Z84" s="76"/>
      <c r="AA84" s="162" t="s">
        <v>287</v>
      </c>
    </row>
    <row r="85" spans="1:27" ht="15" customHeight="1">
      <c r="A85" s="35"/>
      <c r="B85" s="27"/>
      <c r="C85" s="45"/>
      <c r="D85" s="17" t="str" cm="1">
        <f t="array" ref="D85">_xlfn.TEXTJOIN(", ", TRUE(), _xlfn._xlws.FILTER(Speakers_in_Recordings!$B$2:$B$1502,Speakers_in_Recordings!$A$2:$A$1502=Rcrdngs[[#This Row],[Text]],"[no speaker selected in Speakers_in_Recordings]"))</f>
        <v/>
      </c>
      <c r="E85" s="17" t="str" cm="1">
        <f t="array" ref="E85">_xlfn.TEXTJOIN(", ", TRUE(), _xlfn._xlws.FILTER(Sbcts_Rcrdngs[Subject],Sbcts_Rcrdngs[Recording]=Rcrdngs[[#This Row],[Text]],"[no subject selected in Subjects_in_Recordings]"))</f>
        <v/>
      </c>
      <c r="F85" s="18"/>
      <c r="G85" s="19"/>
      <c r="H85" s="19"/>
      <c r="I85" s="19"/>
      <c r="J85" s="178"/>
      <c r="K85" s="153"/>
      <c r="L85" s="61"/>
      <c r="M85" s="20"/>
      <c r="N85" s="20"/>
      <c r="O85" s="21"/>
      <c r="P85" s="21"/>
      <c r="Q85" s="21"/>
      <c r="R85" s="21"/>
      <c r="S85" s="21"/>
      <c r="T85" s="21"/>
      <c r="U85" s="20"/>
      <c r="V85" s="22"/>
      <c r="W85" s="23"/>
      <c r="X85" s="24"/>
      <c r="Y85" s="76"/>
      <c r="Z85" s="76"/>
      <c r="AA85" s="162"/>
    </row>
    <row r="86" spans="1:27" ht="15" customHeight="1">
      <c r="A86" s="35" t="s">
        <v>288</v>
      </c>
      <c r="B86" s="27"/>
      <c r="C86" s="45" t="s">
        <v>29</v>
      </c>
      <c r="D86" s="17" t="str" cm="1">
        <f t="array" ref="D86">_xlfn.TEXTJOIN(", ", TRUE(), _xlfn._xlws.FILTER(Speakers_in_Recordings!$B$2:$B$1502,Speakers_in_Recordings!$A$2:$A$1502=Rcrdngs[[#This Row],[Text]],"[no speaker selected in Speakers_in_Recordings]"))</f>
        <v>SAU_2022_Speaker22</v>
      </c>
      <c r="E86" s="17" t="str" cm="1">
        <f t="array" ref="E86">_xlfn.TEXTJOIN(", ", TRUE(), _xlfn._xlws.FILTER(Sbcts_Rcrdngs[Subject],Sbcts_Rcrdngs[Recording]=Rcrdngs[[#This Row],[Text]],"[no subject selected in Subjects_in_Recordings]"))</f>
        <v>[no subject selected in Subjects_in_Recordings]</v>
      </c>
      <c r="F86" s="18">
        <v>44628</v>
      </c>
      <c r="G86" s="134" t="s">
        <v>241</v>
      </c>
      <c r="H86" s="19" t="s">
        <v>274</v>
      </c>
      <c r="I86" s="19" t="s">
        <v>46</v>
      </c>
      <c r="J86" s="178"/>
      <c r="K86" s="153"/>
      <c r="L86" s="61"/>
      <c r="M86" s="20" t="s">
        <v>35</v>
      </c>
      <c r="N86" s="20"/>
      <c r="O86" s="21"/>
      <c r="P86" s="21"/>
      <c r="Q86" s="21"/>
      <c r="R86" s="21"/>
      <c r="S86" s="21"/>
      <c r="T86" s="21"/>
      <c r="U86" s="20" t="s">
        <v>289</v>
      </c>
      <c r="V86" s="22"/>
      <c r="W86" s="23"/>
      <c r="X86" s="24"/>
      <c r="Y86" s="76" t="s">
        <v>39</v>
      </c>
      <c r="Z86" s="76"/>
      <c r="AA86" s="162" t="s">
        <v>290</v>
      </c>
    </row>
    <row r="87" spans="1:27" ht="15" customHeight="1">
      <c r="A87" s="35" t="s">
        <v>291</v>
      </c>
      <c r="B87" s="27"/>
      <c r="C87" s="45" t="s">
        <v>29</v>
      </c>
      <c r="D87" s="17" t="str" cm="1">
        <f t="array" ref="D87">_xlfn.TEXTJOIN(", ", TRUE(), _xlfn._xlws.FILTER(Speakers_in_Recordings!$B$2:$B$1502,Speakers_in_Recordings!$A$2:$A$1502=Rcrdngs[[#This Row],[Text]],"[no speaker selected in Speakers_in_Recordings]"))</f>
        <v>SAU_2022_Speaker22</v>
      </c>
      <c r="E87" s="17" t="str" cm="1">
        <f t="array" ref="E87">_xlfn.TEXTJOIN(", ", TRUE(), _xlfn._xlws.FILTER(Sbcts_Rcrdngs[Subject],Sbcts_Rcrdngs[Recording]=Rcrdngs[[#This Row],[Text]],"[no subject selected in Subjects_in_Recordings]"))</f>
        <v>[no subject selected in Subjects_in_Recordings]</v>
      </c>
      <c r="F87" s="18">
        <v>44628</v>
      </c>
      <c r="G87" s="134" t="s">
        <v>205</v>
      </c>
      <c r="H87" s="19" t="s">
        <v>274</v>
      </c>
      <c r="I87" s="19" t="s">
        <v>46</v>
      </c>
      <c r="J87" s="178"/>
      <c r="K87" s="153"/>
      <c r="L87" s="61"/>
      <c r="M87" s="20" t="s">
        <v>35</v>
      </c>
      <c r="N87" s="20"/>
      <c r="O87" s="21"/>
      <c r="P87" s="21"/>
      <c r="Q87" s="21"/>
      <c r="R87" s="21"/>
      <c r="S87" s="21"/>
      <c r="T87" s="21"/>
      <c r="U87" s="20" t="s">
        <v>289</v>
      </c>
      <c r="V87" s="22"/>
      <c r="W87" s="23"/>
      <c r="X87" s="24"/>
      <c r="Y87" s="76" t="s">
        <v>39</v>
      </c>
      <c r="Z87" s="76"/>
      <c r="AA87" s="162" t="s">
        <v>292</v>
      </c>
    </row>
    <row r="88" spans="1:27" ht="15" customHeight="1">
      <c r="A88" s="35" t="s">
        <v>293</v>
      </c>
      <c r="B88" s="27"/>
      <c r="C88" s="45" t="s">
        <v>29</v>
      </c>
      <c r="D88" s="17" t="str" cm="1">
        <f t="array" ref="D88">_xlfn.TEXTJOIN(", ", TRUE(), _xlfn._xlws.FILTER(Speakers_in_Recordings!$B$2:$B$1502,Speakers_in_Recordings!$A$2:$A$1502=Rcrdngs[[#This Row],[Text]],"[no speaker selected in Speakers_in_Recordings]"))</f>
        <v>SAU_2022_Speaker22</v>
      </c>
      <c r="E88" s="17" t="str" cm="1">
        <f t="array" ref="E88">_xlfn.TEXTJOIN(", ", TRUE(), _xlfn._xlws.FILTER(Sbcts_Rcrdngs[Subject],Sbcts_Rcrdngs[Recording]=Rcrdngs[[#This Row],[Text]],"[no subject selected in Subjects_in_Recordings]"))</f>
        <v>[no subject selected in Subjects_in_Recordings]</v>
      </c>
      <c r="F88" s="18">
        <v>44628</v>
      </c>
      <c r="G88" s="134" t="s">
        <v>294</v>
      </c>
      <c r="H88" s="19" t="s">
        <v>274</v>
      </c>
      <c r="I88" s="19" t="s">
        <v>46</v>
      </c>
      <c r="J88" s="178"/>
      <c r="K88" s="153"/>
      <c r="L88" s="61"/>
      <c r="M88" s="20" t="s">
        <v>35</v>
      </c>
      <c r="N88" s="20"/>
      <c r="O88" s="21"/>
      <c r="P88" s="21"/>
      <c r="Q88" s="21"/>
      <c r="R88" s="21"/>
      <c r="S88" s="21"/>
      <c r="T88" s="21"/>
      <c r="U88" s="20" t="s">
        <v>289</v>
      </c>
      <c r="V88" s="22"/>
      <c r="W88" s="23"/>
      <c r="X88" s="24"/>
      <c r="Y88" s="76" t="s">
        <v>39</v>
      </c>
      <c r="Z88" s="76"/>
      <c r="AA88" s="162" t="s">
        <v>295</v>
      </c>
    </row>
    <row r="89" spans="1:27" ht="15" customHeight="1">
      <c r="A89" s="35" t="s">
        <v>296</v>
      </c>
      <c r="B89" s="27"/>
      <c r="C89" s="45" t="s">
        <v>29</v>
      </c>
      <c r="D89" s="17" t="str" cm="1">
        <f t="array" ref="D89">_xlfn.TEXTJOIN(", ", TRUE(), _xlfn._xlws.FILTER(Speakers_in_Recordings!$B$2:$B$1502,Speakers_in_Recordings!$A$2:$A$1502=Rcrdngs[[#This Row],[Text]],"[no speaker selected in Speakers_in_Recordings]"))</f>
        <v>SAU_2022_Speaker22</v>
      </c>
      <c r="E89" s="17" t="str" cm="1">
        <f t="array" ref="E89">_xlfn.TEXTJOIN(", ", TRUE(), _xlfn._xlws.FILTER(Sbcts_Rcrdngs[Subject],Sbcts_Rcrdngs[Recording]=Rcrdngs[[#This Row],[Text]],"[no subject selected in Subjects_in_Recordings]"))</f>
        <v>[no subject selected in Subjects_in_Recordings]</v>
      </c>
      <c r="F89" s="18">
        <v>44629</v>
      </c>
      <c r="G89" s="134" t="s">
        <v>297</v>
      </c>
      <c r="H89" s="19" t="s">
        <v>274</v>
      </c>
      <c r="I89" s="19" t="s">
        <v>46</v>
      </c>
      <c r="J89" s="178"/>
      <c r="K89" s="153"/>
      <c r="L89" s="61"/>
      <c r="M89" s="20" t="s">
        <v>35</v>
      </c>
      <c r="N89" s="20"/>
      <c r="O89" s="21"/>
      <c r="P89" s="21"/>
      <c r="Q89" s="21"/>
      <c r="R89" s="21"/>
      <c r="S89" s="21"/>
      <c r="T89" s="21"/>
      <c r="U89" s="20" t="s">
        <v>289</v>
      </c>
      <c r="V89" s="22"/>
      <c r="W89" s="23"/>
      <c r="X89" s="24"/>
      <c r="Y89" s="76" t="s">
        <v>39</v>
      </c>
      <c r="Z89" s="76"/>
      <c r="AA89" s="162" t="s">
        <v>298</v>
      </c>
    </row>
    <row r="90" spans="1:27" ht="15" customHeight="1">
      <c r="A90" s="35" t="s">
        <v>299</v>
      </c>
      <c r="B90" s="27"/>
      <c r="C90" s="45" t="s">
        <v>29</v>
      </c>
      <c r="D90" s="17" t="str" cm="1">
        <f t="array" ref="D90">_xlfn.TEXTJOIN(", ", TRUE(), _xlfn._xlws.FILTER(Speakers_in_Recordings!$B$2:$B$1502,Speakers_in_Recordings!$A$2:$A$1502=Rcrdngs[[#This Row],[Text]],"[no speaker selected in Speakers_in_Recordings]"))</f>
        <v>SAU_2022_Speaker46</v>
      </c>
      <c r="E90" s="17" t="str" cm="1">
        <f t="array" ref="E90">_xlfn.TEXTJOIN(", ", TRUE(), _xlfn._xlws.FILTER(Sbcts_Rcrdngs[Subject],Sbcts_Rcrdngs[Recording]=Rcrdngs[[#This Row],[Text]],"[no subject selected in Subjects_in_Recordings]"))</f>
        <v>[no subject selected in Subjects_in_Recordings]</v>
      </c>
      <c r="F90" s="18">
        <v>44629</v>
      </c>
      <c r="G90" s="134" t="s">
        <v>300</v>
      </c>
      <c r="H90" s="19" t="s">
        <v>274</v>
      </c>
      <c r="I90" s="19" t="s">
        <v>46</v>
      </c>
      <c r="J90" s="178"/>
      <c r="K90" s="153"/>
      <c r="L90" s="61"/>
      <c r="M90" s="20" t="s">
        <v>35</v>
      </c>
      <c r="N90" s="20"/>
      <c r="O90" s="21"/>
      <c r="P90" s="21"/>
      <c r="Q90" s="21"/>
      <c r="R90" s="21"/>
      <c r="S90" s="21"/>
      <c r="T90" s="21"/>
      <c r="U90" s="20" t="s">
        <v>289</v>
      </c>
      <c r="V90" s="22"/>
      <c r="W90" s="23"/>
      <c r="X90" s="24"/>
      <c r="Y90" s="76" t="s">
        <v>39</v>
      </c>
      <c r="Z90" s="76"/>
      <c r="AA90" s="162" t="s">
        <v>301</v>
      </c>
    </row>
    <row r="91" spans="1:27" ht="15" customHeight="1">
      <c r="A91" s="35" t="s">
        <v>302</v>
      </c>
      <c r="B91" s="27"/>
      <c r="C91" s="45" t="s">
        <v>29</v>
      </c>
      <c r="D91" s="17" t="str" cm="1">
        <f t="array" ref="D91">_xlfn.TEXTJOIN(", ", TRUE(), _xlfn._xlws.FILTER(Speakers_in_Recordings!$B$2:$B$1502,Speakers_in_Recordings!$A$2:$A$1502=Rcrdngs[[#This Row],[Text]],"[no speaker selected in Speakers_in_Recordings]"))</f>
        <v>SAU_2022_Speaker9</v>
      </c>
      <c r="E91" s="17" t="str" cm="1">
        <f t="array" ref="E91">_xlfn.TEXTJOIN(", ", TRUE(), _xlfn._xlws.FILTER(Sbcts_Rcrdngs[Subject],Sbcts_Rcrdngs[Recording]=Rcrdngs[[#This Row],[Text]],"[no subject selected in Subjects_in_Recordings]"))</f>
        <v>[no subject selected in Subjects_in_Recordings]</v>
      </c>
      <c r="F91" s="18">
        <v>44632</v>
      </c>
      <c r="G91" s="134" t="s">
        <v>303</v>
      </c>
      <c r="H91" s="19" t="s">
        <v>274</v>
      </c>
      <c r="I91" s="19" t="s">
        <v>46</v>
      </c>
      <c r="J91" s="178"/>
      <c r="K91" s="153"/>
      <c r="L91" s="61"/>
      <c r="M91" s="20" t="s">
        <v>35</v>
      </c>
      <c r="N91" s="20"/>
      <c r="O91" s="21"/>
      <c r="P91" s="21"/>
      <c r="Q91" s="21"/>
      <c r="R91" s="21"/>
      <c r="S91" s="21"/>
      <c r="T91" s="21"/>
      <c r="U91" s="20" t="s">
        <v>37</v>
      </c>
      <c r="V91" s="22"/>
      <c r="W91" s="23"/>
      <c r="X91" s="24"/>
      <c r="Y91" s="76" t="s">
        <v>39</v>
      </c>
      <c r="Z91" s="76"/>
      <c r="AA91" s="162" t="s">
        <v>304</v>
      </c>
    </row>
    <row r="92" spans="1:27" ht="15" customHeight="1">
      <c r="A92" s="35" t="s">
        <v>305</v>
      </c>
      <c r="B92" s="27"/>
      <c r="C92" s="45" t="s">
        <v>29</v>
      </c>
      <c r="D92" s="17" t="str" cm="1">
        <f t="array" ref="D92">_xlfn.TEXTJOIN(", ", TRUE(), _xlfn._xlws.FILTER(Speakers_in_Recordings!$B$2:$B$1502,Speakers_in_Recordings!$A$2:$A$1502=Rcrdngs[[#This Row],[Text]],"[no speaker selected in Speakers_in_Recordings]"))</f>
        <v>SAU_2022_Speaker12</v>
      </c>
      <c r="E92" s="17" t="str" cm="1">
        <f t="array" ref="E92">_xlfn.TEXTJOIN(", ", TRUE(), _xlfn._xlws.FILTER(Sbcts_Rcrdngs[Subject],Sbcts_Rcrdngs[Recording]=Rcrdngs[[#This Row],[Text]],"[no subject selected in Subjects_in_Recordings]"))</f>
        <v>[no subject selected in Subjects_in_Recordings]</v>
      </c>
      <c r="F92" s="18">
        <v>44632</v>
      </c>
      <c r="G92" s="134" t="s">
        <v>306</v>
      </c>
      <c r="H92" s="19" t="s">
        <v>274</v>
      </c>
      <c r="I92" s="19" t="s">
        <v>46</v>
      </c>
      <c r="J92" s="178"/>
      <c r="K92" s="153"/>
      <c r="L92" s="61"/>
      <c r="M92" s="20" t="s">
        <v>35</v>
      </c>
      <c r="N92" s="20"/>
      <c r="O92" s="21"/>
      <c r="P92" s="21"/>
      <c r="Q92" s="21"/>
      <c r="R92" s="21"/>
      <c r="S92" s="21"/>
      <c r="T92" s="21"/>
      <c r="U92" s="20" t="s">
        <v>289</v>
      </c>
      <c r="V92" s="22"/>
      <c r="W92" s="23"/>
      <c r="X92" s="24"/>
      <c r="Y92" s="76" t="s">
        <v>39</v>
      </c>
      <c r="Z92" s="76"/>
      <c r="AA92" s="162" t="s">
        <v>307</v>
      </c>
    </row>
    <row r="93" spans="1:27" ht="15" customHeight="1">
      <c r="A93" s="35" t="s">
        <v>308</v>
      </c>
      <c r="B93" s="27"/>
      <c r="C93" s="45" t="s">
        <v>29</v>
      </c>
      <c r="D93" s="17" t="str" cm="1">
        <f t="array" ref="D93">_xlfn.TEXTJOIN(", ", TRUE(), _xlfn._xlws.FILTER(Speakers_in_Recordings!$B$2:$B$1502,Speakers_in_Recordings!$A$2:$A$1502=Rcrdngs[[#This Row],[Text]],"[no speaker selected in Speakers_in_Recordings]"))</f>
        <v>SAU_2022_Speaker12</v>
      </c>
      <c r="E93" s="17" t="str" cm="1">
        <f t="array" ref="E93">_xlfn.TEXTJOIN(", ", TRUE(), _xlfn._xlws.FILTER(Sbcts_Rcrdngs[Subject],Sbcts_Rcrdngs[Recording]=Rcrdngs[[#This Row],[Text]],"[no subject selected in Subjects_in_Recordings]"))</f>
        <v>[no subject selected in Subjects_in_Recordings]</v>
      </c>
      <c r="F93" s="18">
        <v>44632</v>
      </c>
      <c r="G93" s="134" t="s">
        <v>309</v>
      </c>
      <c r="H93" s="19" t="s">
        <v>274</v>
      </c>
      <c r="I93" s="19" t="s">
        <v>46</v>
      </c>
      <c r="J93" s="178"/>
      <c r="K93" s="153"/>
      <c r="L93" s="61"/>
      <c r="M93" s="20" t="s">
        <v>35</v>
      </c>
      <c r="N93" s="20"/>
      <c r="O93" s="21"/>
      <c r="P93" s="21"/>
      <c r="Q93" s="21"/>
      <c r="R93" s="21"/>
      <c r="S93" s="21"/>
      <c r="T93" s="21"/>
      <c r="U93" s="20" t="s">
        <v>289</v>
      </c>
      <c r="V93" s="22"/>
      <c r="W93" s="23"/>
      <c r="X93" s="24"/>
      <c r="Y93" s="76" t="s">
        <v>39</v>
      </c>
      <c r="Z93" s="76"/>
      <c r="AA93" s="162" t="s">
        <v>310</v>
      </c>
    </row>
    <row r="94" spans="1:27" ht="15" customHeight="1">
      <c r="A94" s="35" t="s">
        <v>311</v>
      </c>
      <c r="B94" s="27"/>
      <c r="C94" s="45" t="s">
        <v>29</v>
      </c>
      <c r="D94" s="17" t="str" cm="1">
        <f t="array" ref="D94">_xlfn.TEXTJOIN(", ", TRUE(), _xlfn._xlws.FILTER(Speakers_in_Recordings!$B$2:$B$1502,Speakers_in_Recordings!$A$2:$A$1502=Rcrdngs[[#This Row],[Text]],"[no speaker selected in Speakers_in_Recordings]"))</f>
        <v>SAU_2022_Speaker12</v>
      </c>
      <c r="E94" s="17" t="str" cm="1">
        <f t="array" ref="E94">_xlfn.TEXTJOIN(", ", TRUE(), _xlfn._xlws.FILTER(Sbcts_Rcrdngs[Subject],Sbcts_Rcrdngs[Recording]=Rcrdngs[[#This Row],[Text]],"[no subject selected in Subjects_in_Recordings]"))</f>
        <v>[no subject selected in Subjects_in_Recordings]</v>
      </c>
      <c r="F94" s="18">
        <v>44632</v>
      </c>
      <c r="G94" s="134" t="s">
        <v>312</v>
      </c>
      <c r="H94" s="19" t="s">
        <v>274</v>
      </c>
      <c r="I94" s="19" t="s">
        <v>46</v>
      </c>
      <c r="J94" s="178"/>
      <c r="K94" s="153"/>
      <c r="L94" s="61"/>
      <c r="M94" s="20" t="s">
        <v>35</v>
      </c>
      <c r="N94" s="20"/>
      <c r="O94" s="21"/>
      <c r="P94" s="21"/>
      <c r="Q94" s="21"/>
      <c r="R94" s="21"/>
      <c r="S94" s="21"/>
      <c r="T94" s="21"/>
      <c r="U94" s="20" t="s">
        <v>289</v>
      </c>
      <c r="V94" s="22"/>
      <c r="W94" s="23"/>
      <c r="X94" s="24"/>
      <c r="Y94" s="76" t="s">
        <v>39</v>
      </c>
      <c r="Z94" s="76"/>
      <c r="AA94" s="162" t="s">
        <v>313</v>
      </c>
    </row>
    <row r="95" spans="1:27" ht="15" customHeight="1">
      <c r="A95" s="35" t="s">
        <v>314</v>
      </c>
      <c r="B95" s="27"/>
      <c r="C95" s="45" t="s">
        <v>29</v>
      </c>
      <c r="D95" s="17" t="str" cm="1">
        <f t="array" ref="D95">_xlfn.TEXTJOIN(", ", TRUE(), _xlfn._xlws.FILTER(Speakers_in_Recordings!$B$2:$B$1502,Speakers_in_Recordings!$A$2:$A$1502=Rcrdngs[[#This Row],[Text]],"[no speaker selected in Speakers_in_Recordings]"))</f>
        <v>SAU_2022_Speaker6</v>
      </c>
      <c r="E95" s="17" t="str" cm="1">
        <f t="array" ref="E95">_xlfn.TEXTJOIN(", ", TRUE(), _xlfn._xlws.FILTER(Sbcts_Rcrdngs[Subject],Sbcts_Rcrdngs[Recording]=Rcrdngs[[#This Row],[Text]],"[no subject selected in Subjects_in_Recordings]"))</f>
        <v>[no subject selected in Subjects_in_Recordings]</v>
      </c>
      <c r="F95" s="18">
        <v>44633</v>
      </c>
      <c r="G95" s="134" t="s">
        <v>315</v>
      </c>
      <c r="H95" s="19" t="s">
        <v>274</v>
      </c>
      <c r="I95" s="19" t="s">
        <v>46</v>
      </c>
      <c r="J95" s="178"/>
      <c r="K95" s="153"/>
      <c r="L95" s="61"/>
      <c r="M95" s="20" t="s">
        <v>35</v>
      </c>
      <c r="N95" s="20"/>
      <c r="O95" s="21"/>
      <c r="P95" s="21"/>
      <c r="Q95" s="21"/>
      <c r="R95" s="21"/>
      <c r="S95" s="21"/>
      <c r="T95" s="21"/>
      <c r="U95" s="20" t="s">
        <v>289</v>
      </c>
      <c r="V95" s="22"/>
      <c r="W95" s="23"/>
      <c r="X95" s="24"/>
      <c r="Y95" s="76" t="s">
        <v>39</v>
      </c>
      <c r="Z95" s="76"/>
      <c r="AA95" s="162" t="s">
        <v>316</v>
      </c>
    </row>
    <row r="96" spans="1:27" ht="15" customHeight="1">
      <c r="A96" s="35" t="s">
        <v>317</v>
      </c>
      <c r="B96" s="27"/>
      <c r="C96" s="45" t="s">
        <v>29</v>
      </c>
      <c r="D96" s="17" t="str" cm="1">
        <f t="array" ref="D96">_xlfn.TEXTJOIN(", ", TRUE(), _xlfn._xlws.FILTER(Speakers_in_Recordings!$B$2:$B$1502,Speakers_in_Recordings!$A$2:$A$1502=Rcrdngs[[#This Row],[Text]],"[no speaker selected in Speakers_in_Recordings]"))</f>
        <v>SAU_2022_Speaker42</v>
      </c>
      <c r="E96" s="17" t="str" cm="1">
        <f t="array" ref="E96">_xlfn.TEXTJOIN(", ", TRUE(), _xlfn._xlws.FILTER(Sbcts_Rcrdngs[Subject],Sbcts_Rcrdngs[Recording]=Rcrdngs[[#This Row],[Text]],"[no subject selected in Subjects_in_Recordings]"))</f>
        <v>[no subject selected in Subjects_in_Recordings]</v>
      </c>
      <c r="F96" s="18">
        <v>44633</v>
      </c>
      <c r="G96" s="134" t="s">
        <v>318</v>
      </c>
      <c r="H96" s="19" t="s">
        <v>274</v>
      </c>
      <c r="I96" s="19" t="s">
        <v>46</v>
      </c>
      <c r="J96" s="178"/>
      <c r="K96" s="153"/>
      <c r="L96" s="61"/>
      <c r="M96" s="20" t="s">
        <v>35</v>
      </c>
      <c r="N96" s="20"/>
      <c r="O96" s="21"/>
      <c r="P96" s="21"/>
      <c r="Q96" s="21"/>
      <c r="R96" s="21"/>
      <c r="S96" s="21"/>
      <c r="T96" s="21"/>
      <c r="U96" s="20" t="s">
        <v>289</v>
      </c>
      <c r="V96" s="22"/>
      <c r="W96" s="23"/>
      <c r="X96" s="24"/>
      <c r="Y96" s="76" t="s">
        <v>39</v>
      </c>
      <c r="Z96" s="76"/>
      <c r="AA96" s="162" t="s">
        <v>319</v>
      </c>
    </row>
    <row r="97" spans="1:27" ht="15" customHeight="1">
      <c r="A97" s="35" t="s">
        <v>320</v>
      </c>
      <c r="B97" s="27"/>
      <c r="C97" s="45" t="s">
        <v>29</v>
      </c>
      <c r="D97" s="17" t="str" cm="1">
        <f t="array" ref="D97">_xlfn.TEXTJOIN(", ", TRUE(), _xlfn._xlws.FILTER(Speakers_in_Recordings!$B$2:$B$1502,Speakers_in_Recordings!$A$2:$A$1502=Rcrdngs[[#This Row],[Text]],"[no speaker selected in Speakers_in_Recordings]"))</f>
        <v>SAU_2022_Speaker8</v>
      </c>
      <c r="E97" s="17" t="str" cm="1">
        <f t="array" ref="E97">_xlfn.TEXTJOIN(", ", TRUE(), _xlfn._xlws.FILTER(Sbcts_Rcrdngs[Subject],Sbcts_Rcrdngs[Recording]=Rcrdngs[[#This Row],[Text]],"[no subject selected in Subjects_in_Recordings]"))</f>
        <v>[no subject selected in Subjects_in_Recordings]</v>
      </c>
      <c r="F97" s="18">
        <v>44633</v>
      </c>
      <c r="G97" s="134" t="s">
        <v>321</v>
      </c>
      <c r="H97" s="19" t="s">
        <v>274</v>
      </c>
      <c r="I97" s="19" t="s">
        <v>32</v>
      </c>
      <c r="J97" s="178"/>
      <c r="K97" s="153"/>
      <c r="L97" s="61"/>
      <c r="M97" s="20" t="s">
        <v>35</v>
      </c>
      <c r="N97" s="20"/>
      <c r="O97" s="21"/>
      <c r="P97" s="21"/>
      <c r="Q97" s="21"/>
      <c r="R97" s="21"/>
      <c r="S97" s="21"/>
      <c r="T97" s="21"/>
      <c r="U97" s="20" t="s">
        <v>289</v>
      </c>
      <c r="V97" s="22"/>
      <c r="W97" s="23"/>
      <c r="X97" s="24"/>
      <c r="Y97" s="76" t="s">
        <v>39</v>
      </c>
      <c r="Z97" s="76"/>
      <c r="AA97" s="162" t="s">
        <v>322</v>
      </c>
    </row>
    <row r="98" spans="1:27" ht="15" customHeight="1">
      <c r="A98" s="35" t="s">
        <v>323</v>
      </c>
      <c r="B98" s="27"/>
      <c r="C98" s="45" t="s">
        <v>29</v>
      </c>
      <c r="D98" s="17" t="str" cm="1">
        <f t="array" ref="D98">_xlfn.TEXTJOIN(", ", TRUE(), _xlfn._xlws.FILTER(Speakers_in_Recordings!$B$2:$B$1502,Speakers_in_Recordings!$A$2:$A$1502=Rcrdngs[[#This Row],[Text]],"[no speaker selected in Speakers_in_Recordings]"))</f>
        <v>SAU_2022_Speaker8</v>
      </c>
      <c r="E98" s="17" t="str" cm="1">
        <f t="array" ref="E98">_xlfn.TEXTJOIN(", ", TRUE(), _xlfn._xlws.FILTER(Sbcts_Rcrdngs[Subject],Sbcts_Rcrdngs[Recording]=Rcrdngs[[#This Row],[Text]],"[no subject selected in Subjects_in_Recordings]"))</f>
        <v>[no subject selected in Subjects_in_Recordings]</v>
      </c>
      <c r="F98" s="18">
        <v>44633</v>
      </c>
      <c r="G98" s="134" t="s">
        <v>324</v>
      </c>
      <c r="H98" s="19" t="s">
        <v>274</v>
      </c>
      <c r="I98" s="19" t="s">
        <v>32</v>
      </c>
      <c r="J98" s="178"/>
      <c r="K98" s="153"/>
      <c r="L98" s="61"/>
      <c r="M98" s="20" t="s">
        <v>35</v>
      </c>
      <c r="N98" s="20"/>
      <c r="O98" s="21"/>
      <c r="P98" s="21"/>
      <c r="Q98" s="21"/>
      <c r="R98" s="21"/>
      <c r="S98" s="21"/>
      <c r="T98" s="21"/>
      <c r="U98" s="20" t="s">
        <v>289</v>
      </c>
      <c r="V98" s="22"/>
      <c r="W98" s="23"/>
      <c r="X98" s="24"/>
      <c r="Y98" s="76" t="s">
        <v>39</v>
      </c>
      <c r="Z98" s="76"/>
      <c r="AA98" s="162" t="s">
        <v>325</v>
      </c>
    </row>
    <row r="99" spans="1:27" ht="15" customHeight="1">
      <c r="A99" s="35" t="s">
        <v>326</v>
      </c>
      <c r="B99" s="27"/>
      <c r="C99" s="45" t="s">
        <v>29</v>
      </c>
      <c r="D99" s="17" t="str" cm="1">
        <f t="array" ref="D99">_xlfn.TEXTJOIN(", ", TRUE(), _xlfn._xlws.FILTER(Speakers_in_Recordings!$B$2:$B$1502,Speakers_in_Recordings!$A$2:$A$1502=Rcrdngs[[#This Row],[Text]],"[no speaker selected in Speakers_in_Recordings]"))</f>
        <v>SAU_2022_Speaker8</v>
      </c>
      <c r="E99" s="17" t="str" cm="1">
        <f t="array" ref="E99">_xlfn.TEXTJOIN(", ", TRUE(), _xlfn._xlws.FILTER(Sbcts_Rcrdngs[Subject],Sbcts_Rcrdngs[Recording]=Rcrdngs[[#This Row],[Text]],"[no subject selected in Subjects_in_Recordings]"))</f>
        <v>[no subject selected in Subjects_in_Recordings]</v>
      </c>
      <c r="F99" s="18">
        <v>44633</v>
      </c>
      <c r="G99" s="134" t="s">
        <v>327</v>
      </c>
      <c r="H99" s="19" t="s">
        <v>274</v>
      </c>
      <c r="I99" s="19" t="s">
        <v>32</v>
      </c>
      <c r="J99" s="178"/>
      <c r="K99" s="153"/>
      <c r="L99" s="61"/>
      <c r="M99" s="20" t="s">
        <v>35</v>
      </c>
      <c r="N99" s="20"/>
      <c r="O99" s="21"/>
      <c r="P99" s="21"/>
      <c r="Q99" s="21"/>
      <c r="R99" s="21"/>
      <c r="S99" s="21"/>
      <c r="T99" s="21"/>
      <c r="U99" s="20" t="s">
        <v>289</v>
      </c>
      <c r="V99" s="22"/>
      <c r="W99" s="23"/>
      <c r="X99" s="24"/>
      <c r="Y99" s="76" t="s">
        <v>39</v>
      </c>
      <c r="Z99" s="76"/>
      <c r="AA99" s="162" t="s">
        <v>328</v>
      </c>
    </row>
    <row r="100" spans="1:27" ht="15" customHeight="1">
      <c r="A100" s="35" t="s">
        <v>329</v>
      </c>
      <c r="B100" s="27"/>
      <c r="C100" s="45" t="s">
        <v>29</v>
      </c>
      <c r="D100" s="17" t="str" cm="1">
        <f t="array" ref="D100">_xlfn.TEXTJOIN(", ", TRUE(), _xlfn._xlws.FILTER(Speakers_in_Recordings!$B$2:$B$1502,Speakers_in_Recordings!$A$2:$A$1502=Rcrdngs[[#This Row],[Text]],"[no speaker selected in Speakers_in_Recordings]"))</f>
        <v>SAU_2022_Speaker14</v>
      </c>
      <c r="E100" s="17" t="str" cm="1">
        <f t="array" ref="E100">_xlfn.TEXTJOIN(", ", TRUE(), _xlfn._xlws.FILTER(Sbcts_Rcrdngs[Subject],Sbcts_Rcrdngs[Recording]=Rcrdngs[[#This Row],[Text]],"[no subject selected in Subjects_in_Recordings]"))</f>
        <v>[no subject selected in Subjects_in_Recordings]</v>
      </c>
      <c r="F100" s="18">
        <v>44638</v>
      </c>
      <c r="G100" s="134" t="s">
        <v>330</v>
      </c>
      <c r="H100" s="19" t="s">
        <v>274</v>
      </c>
      <c r="I100" s="19" t="s">
        <v>32</v>
      </c>
      <c r="J100" s="178"/>
      <c r="K100" s="153"/>
      <c r="L100" s="61"/>
      <c r="M100" s="20" t="s">
        <v>35</v>
      </c>
      <c r="N100" s="20"/>
      <c r="O100" s="21"/>
      <c r="P100" s="21"/>
      <c r="Q100" s="21"/>
      <c r="R100" s="21"/>
      <c r="S100" s="21"/>
      <c r="T100" s="21"/>
      <c r="U100" s="20" t="s">
        <v>62</v>
      </c>
      <c r="V100" s="22"/>
      <c r="W100" s="23"/>
      <c r="X100" s="24"/>
      <c r="Y100" s="76" t="s">
        <v>39</v>
      </c>
      <c r="Z100" s="76"/>
      <c r="AA100" s="162" t="s">
        <v>331</v>
      </c>
    </row>
    <row r="101" spans="1:27" ht="15" customHeight="1">
      <c r="A101" s="35" t="s">
        <v>332</v>
      </c>
      <c r="B101" s="27"/>
      <c r="C101" s="45" t="s">
        <v>29</v>
      </c>
      <c r="D101" s="17" t="str" cm="1">
        <f t="array" ref="D101">_xlfn.TEXTJOIN(", ", TRUE(), _xlfn._xlws.FILTER(Speakers_in_Recordings!$B$2:$B$1502,Speakers_in_Recordings!$A$2:$A$1502=Rcrdngs[[#This Row],[Text]],"[no speaker selected in Speakers_in_Recordings]"))</f>
        <v>SAU_2022_Speaker14</v>
      </c>
      <c r="E101" s="17" t="str" cm="1">
        <f t="array" ref="E101">_xlfn.TEXTJOIN(", ", TRUE(), _xlfn._xlws.FILTER(Sbcts_Rcrdngs[Subject],Sbcts_Rcrdngs[Recording]=Rcrdngs[[#This Row],[Text]],"[no subject selected in Subjects_in_Recordings]"))</f>
        <v>[no subject selected in Subjects_in_Recordings]</v>
      </c>
      <c r="F101" s="18">
        <v>44638</v>
      </c>
      <c r="G101" s="134" t="s">
        <v>333</v>
      </c>
      <c r="H101" s="19" t="s">
        <v>274</v>
      </c>
      <c r="I101" s="19" t="s">
        <v>32</v>
      </c>
      <c r="J101" s="178"/>
      <c r="K101" s="153"/>
      <c r="L101" s="61"/>
      <c r="M101" s="20" t="s">
        <v>35</v>
      </c>
      <c r="N101" s="20"/>
      <c r="O101" s="21"/>
      <c r="P101" s="21"/>
      <c r="Q101" s="21"/>
      <c r="R101" s="21"/>
      <c r="S101" s="21"/>
      <c r="T101" s="21"/>
      <c r="U101" s="20" t="s">
        <v>62</v>
      </c>
      <c r="V101" s="22"/>
      <c r="W101" s="23"/>
      <c r="X101" s="24"/>
      <c r="Y101" s="76" t="s">
        <v>39</v>
      </c>
      <c r="Z101" s="76"/>
      <c r="AA101" s="162" t="s">
        <v>334</v>
      </c>
    </row>
    <row r="102" spans="1:27" ht="15" customHeight="1">
      <c r="A102" s="35" t="s">
        <v>335</v>
      </c>
      <c r="B102" s="27"/>
      <c r="C102" s="45" t="s">
        <v>29</v>
      </c>
      <c r="D102" s="17" t="str" cm="1">
        <f t="array" ref="D102">_xlfn.TEXTJOIN(", ", TRUE(), _xlfn._xlws.FILTER(Speakers_in_Recordings!$B$2:$B$1502,Speakers_in_Recordings!$A$2:$A$1502=Rcrdngs[[#This Row],[Text]],"[no speaker selected in Speakers_in_Recordings]"))</f>
        <v>SAU_2022_Speaker14</v>
      </c>
      <c r="E102" s="17" t="str" cm="1">
        <f t="array" ref="E102">_xlfn.TEXTJOIN(", ", TRUE(), _xlfn._xlws.FILTER(Sbcts_Rcrdngs[Subject],Sbcts_Rcrdngs[Recording]=Rcrdngs[[#This Row],[Text]],"[no subject selected in Subjects_in_Recordings]"))</f>
        <v>[no subject selected in Subjects_in_Recordings]</v>
      </c>
      <c r="F102" s="18">
        <v>44638</v>
      </c>
      <c r="G102" s="134" t="s">
        <v>336</v>
      </c>
      <c r="H102" s="19" t="s">
        <v>274</v>
      </c>
      <c r="I102" s="19" t="s">
        <v>32</v>
      </c>
      <c r="J102" s="178"/>
      <c r="K102" s="153"/>
      <c r="L102" s="61"/>
      <c r="M102" s="20" t="s">
        <v>35</v>
      </c>
      <c r="N102" s="20"/>
      <c r="O102" s="21"/>
      <c r="P102" s="21"/>
      <c r="Q102" s="21"/>
      <c r="R102" s="21"/>
      <c r="S102" s="21"/>
      <c r="T102" s="21"/>
      <c r="U102" s="20" t="s">
        <v>62</v>
      </c>
      <c r="V102" s="22"/>
      <c r="W102" s="23"/>
      <c r="X102" s="24"/>
      <c r="Y102" s="76" t="s">
        <v>39</v>
      </c>
      <c r="Z102" s="76"/>
      <c r="AA102" s="162" t="s">
        <v>337</v>
      </c>
    </row>
    <row r="103" spans="1:27" ht="15" customHeight="1">
      <c r="A103" s="35" t="s">
        <v>338</v>
      </c>
      <c r="B103" s="27"/>
      <c r="C103" s="45" t="s">
        <v>29</v>
      </c>
      <c r="D103" s="17" t="str" cm="1">
        <f t="array" ref="D103">_xlfn.TEXTJOIN(", ", TRUE(), _xlfn._xlws.FILTER(Speakers_in_Recordings!$B$2:$B$1502,Speakers_in_Recordings!$A$2:$A$1502=Rcrdngs[[#This Row],[Text]],"[no speaker selected in Speakers_in_Recordings]"))</f>
        <v>SAU_2022_Speaker14</v>
      </c>
      <c r="E103" s="17" t="str" cm="1">
        <f t="array" ref="E103">_xlfn.TEXTJOIN(", ", TRUE(), _xlfn._xlws.FILTER(Sbcts_Rcrdngs[Subject],Sbcts_Rcrdngs[Recording]=Rcrdngs[[#This Row],[Text]],"[no subject selected in Subjects_in_Recordings]"))</f>
        <v>[no subject selected in Subjects_in_Recordings]</v>
      </c>
      <c r="F103" s="18">
        <v>44638</v>
      </c>
      <c r="G103" s="134" t="s">
        <v>339</v>
      </c>
      <c r="H103" s="19" t="s">
        <v>274</v>
      </c>
      <c r="I103" s="19" t="s">
        <v>32</v>
      </c>
      <c r="J103" s="178"/>
      <c r="K103" s="153"/>
      <c r="L103" s="61"/>
      <c r="M103" s="20" t="s">
        <v>35</v>
      </c>
      <c r="N103" s="20"/>
      <c r="O103" s="21"/>
      <c r="P103" s="21"/>
      <c r="Q103" s="21"/>
      <c r="R103" s="21"/>
      <c r="S103" s="21"/>
      <c r="T103" s="21"/>
      <c r="U103" s="20" t="s">
        <v>62</v>
      </c>
      <c r="V103" s="22"/>
      <c r="W103" s="23"/>
      <c r="X103" s="24"/>
      <c r="Y103" s="76" t="s">
        <v>39</v>
      </c>
      <c r="Z103" s="76"/>
      <c r="AA103" s="162" t="s">
        <v>340</v>
      </c>
    </row>
    <row r="104" spans="1:27" ht="15" customHeight="1">
      <c r="A104" s="35" t="s">
        <v>341</v>
      </c>
      <c r="B104" s="27"/>
      <c r="C104" s="45" t="s">
        <v>29</v>
      </c>
      <c r="D104" s="17" t="str" cm="1">
        <f t="array" ref="D104">_xlfn.TEXTJOIN(", ", TRUE(), _xlfn._xlws.FILTER(Speakers_in_Recordings!$B$2:$B$1502,Speakers_in_Recordings!$A$2:$A$1502=Rcrdngs[[#This Row],[Text]],"[no speaker selected in Speakers_in_Recordings]"))</f>
        <v>SAU_2022_Speaker14</v>
      </c>
      <c r="E104" s="17" t="str" cm="1">
        <f t="array" ref="E104">_xlfn.TEXTJOIN(", ", TRUE(), _xlfn._xlws.FILTER(Sbcts_Rcrdngs[Subject],Sbcts_Rcrdngs[Recording]=Rcrdngs[[#This Row],[Text]],"[no subject selected in Subjects_in_Recordings]"))</f>
        <v>[no subject selected in Subjects_in_Recordings]</v>
      </c>
      <c r="F104" s="18">
        <v>44638</v>
      </c>
      <c r="G104" s="134" t="s">
        <v>342</v>
      </c>
      <c r="H104" s="19" t="s">
        <v>274</v>
      </c>
      <c r="I104" s="19" t="s">
        <v>32</v>
      </c>
      <c r="J104" s="178"/>
      <c r="K104" s="153"/>
      <c r="L104" s="61"/>
      <c r="M104" s="20" t="s">
        <v>35</v>
      </c>
      <c r="N104" s="20"/>
      <c r="O104" s="21"/>
      <c r="P104" s="21"/>
      <c r="Q104" s="21"/>
      <c r="R104" s="21"/>
      <c r="S104" s="21"/>
      <c r="T104" s="21"/>
      <c r="U104" s="20" t="s">
        <v>62</v>
      </c>
      <c r="V104" s="22"/>
      <c r="W104" s="23"/>
      <c r="X104" s="24"/>
      <c r="Y104" s="76" t="s">
        <v>39</v>
      </c>
      <c r="Z104" s="76"/>
      <c r="AA104" s="162" t="s">
        <v>343</v>
      </c>
    </row>
    <row r="105" spans="1:27" ht="15" customHeight="1">
      <c r="A105" s="35" t="s">
        <v>344</v>
      </c>
      <c r="B105" s="27"/>
      <c r="C105" s="45" t="s">
        <v>29</v>
      </c>
      <c r="D105" s="17" t="str" cm="1">
        <f t="array" ref="D105">_xlfn.TEXTJOIN(", ", TRUE(), _xlfn._xlws.FILTER(Speakers_in_Recordings!$B$2:$B$1502,Speakers_in_Recordings!$A$2:$A$1502=Rcrdngs[[#This Row],[Text]],"[no speaker selected in Speakers_in_Recordings]"))</f>
        <v>SAU_2022_Speaker14</v>
      </c>
      <c r="E105" s="17" t="str" cm="1">
        <f t="array" ref="E105">_xlfn.TEXTJOIN(", ", TRUE(), _xlfn._xlws.FILTER(Sbcts_Rcrdngs[Subject],Sbcts_Rcrdngs[Recording]=Rcrdngs[[#This Row],[Text]],"[no subject selected in Subjects_in_Recordings]"))</f>
        <v>[no subject selected in Subjects_in_Recordings]</v>
      </c>
      <c r="F105" s="18">
        <v>44638</v>
      </c>
      <c r="G105" s="134" t="s">
        <v>345</v>
      </c>
      <c r="H105" s="19" t="s">
        <v>274</v>
      </c>
      <c r="I105" s="19" t="s">
        <v>32</v>
      </c>
      <c r="J105" s="178"/>
      <c r="K105" s="153"/>
      <c r="L105" s="61"/>
      <c r="M105" s="20" t="s">
        <v>35</v>
      </c>
      <c r="N105" s="20"/>
      <c r="O105" s="21"/>
      <c r="P105" s="21"/>
      <c r="Q105" s="21"/>
      <c r="R105" s="21"/>
      <c r="S105" s="21"/>
      <c r="T105" s="21"/>
      <c r="U105" s="20" t="s">
        <v>62</v>
      </c>
      <c r="V105" s="22"/>
      <c r="W105" s="23"/>
      <c r="X105" s="24"/>
      <c r="Y105" s="76" t="s">
        <v>39</v>
      </c>
      <c r="Z105" s="76"/>
      <c r="AA105" s="162" t="s">
        <v>346</v>
      </c>
    </row>
    <row r="106" spans="1:27" ht="15" customHeight="1">
      <c r="A106" s="35" t="s">
        <v>347</v>
      </c>
      <c r="B106" s="27"/>
      <c r="C106" s="45" t="s">
        <v>29</v>
      </c>
      <c r="D106" s="17" t="str" cm="1">
        <f t="array" ref="D106">_xlfn.TEXTJOIN(", ", TRUE(), _xlfn._xlws.FILTER(Speakers_in_Recordings!$B$2:$B$1502,Speakers_in_Recordings!$A$2:$A$1502=Rcrdngs[[#This Row],[Text]],"[no speaker selected in Speakers_in_Recordings]"))</f>
        <v>SAU_2022_Speaker14</v>
      </c>
      <c r="E106" s="17" t="str" cm="1">
        <f t="array" ref="E106">_xlfn.TEXTJOIN(", ", TRUE(), _xlfn._xlws.FILTER(Sbcts_Rcrdngs[Subject],Sbcts_Rcrdngs[Recording]=Rcrdngs[[#This Row],[Text]],"[no subject selected in Subjects_in_Recordings]"))</f>
        <v>[no subject selected in Subjects_in_Recordings]</v>
      </c>
      <c r="F106" s="18">
        <v>44638</v>
      </c>
      <c r="G106" s="134" t="s">
        <v>348</v>
      </c>
      <c r="H106" s="19" t="s">
        <v>274</v>
      </c>
      <c r="I106" s="19" t="s">
        <v>32</v>
      </c>
      <c r="J106" s="178"/>
      <c r="K106" s="153"/>
      <c r="L106" s="61"/>
      <c r="M106" s="20" t="s">
        <v>35</v>
      </c>
      <c r="N106" s="20"/>
      <c r="O106" s="21"/>
      <c r="P106" s="21"/>
      <c r="Q106" s="21"/>
      <c r="R106" s="21"/>
      <c r="S106" s="21"/>
      <c r="T106" s="21"/>
      <c r="U106" s="20" t="s">
        <v>62</v>
      </c>
      <c r="V106" s="22"/>
      <c r="W106" s="23"/>
      <c r="X106" s="24"/>
      <c r="Y106" s="76" t="s">
        <v>39</v>
      </c>
      <c r="Z106" s="76"/>
      <c r="AA106" s="162" t="s">
        <v>349</v>
      </c>
    </row>
    <row r="107" spans="1:27" ht="15" customHeight="1">
      <c r="A107" s="35" t="s">
        <v>350</v>
      </c>
      <c r="B107" s="27"/>
      <c r="C107" s="45" t="s">
        <v>29</v>
      </c>
      <c r="D107" s="17" t="str" cm="1">
        <f t="array" ref="D107">_xlfn.TEXTJOIN(", ", TRUE(), _xlfn._xlws.FILTER(Speakers_in_Recordings!$B$2:$B$1502,Speakers_in_Recordings!$A$2:$A$1502=Rcrdngs[[#This Row],[Text]],"[no speaker selected in Speakers_in_Recordings]"))</f>
        <v>SAU_2022_Speaker14</v>
      </c>
      <c r="E107" s="17" t="str" cm="1">
        <f t="array" ref="E107">_xlfn.TEXTJOIN(", ", TRUE(), _xlfn._xlws.FILTER(Sbcts_Rcrdngs[Subject],Sbcts_Rcrdngs[Recording]=Rcrdngs[[#This Row],[Text]],"[no subject selected in Subjects_in_Recordings]"))</f>
        <v>[no subject selected in Subjects_in_Recordings]</v>
      </c>
      <c r="F107" s="18">
        <v>44638</v>
      </c>
      <c r="G107" s="134" t="s">
        <v>351</v>
      </c>
      <c r="H107" s="19" t="s">
        <v>274</v>
      </c>
      <c r="I107" s="19" t="s">
        <v>32</v>
      </c>
      <c r="J107" s="178"/>
      <c r="K107" s="153"/>
      <c r="L107" s="61"/>
      <c r="M107" s="20" t="s">
        <v>35</v>
      </c>
      <c r="N107" s="20"/>
      <c r="O107" s="21"/>
      <c r="P107" s="21"/>
      <c r="Q107" s="21"/>
      <c r="R107" s="21"/>
      <c r="S107" s="21"/>
      <c r="T107" s="21"/>
      <c r="U107" s="20" t="s">
        <v>62</v>
      </c>
      <c r="V107" s="22"/>
      <c r="W107" s="23"/>
      <c r="X107" s="24"/>
      <c r="Y107" s="76" t="s">
        <v>39</v>
      </c>
      <c r="Z107" s="76"/>
      <c r="AA107" s="162" t="s">
        <v>352</v>
      </c>
    </row>
    <row r="108" spans="1:27" ht="15" customHeight="1">
      <c r="A108" s="35" t="s">
        <v>353</v>
      </c>
      <c r="B108" s="27"/>
      <c r="C108" s="45" t="s">
        <v>29</v>
      </c>
      <c r="D108" s="17" t="str" cm="1">
        <f t="array" ref="D108">_xlfn.TEXTJOIN(", ", TRUE(), _xlfn._xlws.FILTER(Speakers_in_Recordings!$B$2:$B$1502,Speakers_in_Recordings!$A$2:$A$1502=Rcrdngs[[#This Row],[Text]],"[no speaker selected in Speakers_in_Recordings]"))</f>
        <v>SAU_2022_Speaker14</v>
      </c>
      <c r="E108" s="17" t="str" cm="1">
        <f t="array" ref="E108">_xlfn.TEXTJOIN(", ", TRUE(), _xlfn._xlws.FILTER(Sbcts_Rcrdngs[Subject],Sbcts_Rcrdngs[Recording]=Rcrdngs[[#This Row],[Text]],"[no subject selected in Subjects_in_Recordings]"))</f>
        <v>[no subject selected in Subjects_in_Recordings]</v>
      </c>
      <c r="F108" s="18">
        <v>44638</v>
      </c>
      <c r="G108" s="134" t="s">
        <v>194</v>
      </c>
      <c r="H108" s="19" t="s">
        <v>274</v>
      </c>
      <c r="I108" s="19" t="s">
        <v>32</v>
      </c>
      <c r="J108" s="178"/>
      <c r="K108" s="153"/>
      <c r="L108" s="61"/>
      <c r="M108" s="20" t="s">
        <v>35</v>
      </c>
      <c r="N108" s="20"/>
      <c r="O108" s="21"/>
      <c r="P108" s="21"/>
      <c r="Q108" s="21"/>
      <c r="R108" s="21"/>
      <c r="S108" s="21"/>
      <c r="T108" s="21"/>
      <c r="U108" s="20" t="s">
        <v>62</v>
      </c>
      <c r="V108" s="22"/>
      <c r="W108" s="23"/>
      <c r="X108" s="24"/>
      <c r="Y108" s="76" t="s">
        <v>39</v>
      </c>
      <c r="Z108" s="76"/>
      <c r="AA108" s="162" t="s">
        <v>354</v>
      </c>
    </row>
    <row r="109" spans="1:27" ht="15" customHeight="1">
      <c r="A109" s="35" t="s">
        <v>355</v>
      </c>
      <c r="B109" s="27"/>
      <c r="C109" s="45" t="s">
        <v>29</v>
      </c>
      <c r="D109" s="17" t="str" cm="1">
        <f t="array" ref="D109">_xlfn.TEXTJOIN(", ", TRUE(), _xlfn._xlws.FILTER(Speakers_in_Recordings!$B$2:$B$1502,Speakers_in_Recordings!$A$2:$A$1502=Rcrdngs[[#This Row],[Text]],"[no speaker selected in Speakers_in_Recordings]"))</f>
        <v>SAU_2022_Speaker14</v>
      </c>
      <c r="E109" s="17" t="str" cm="1">
        <f t="array" ref="E109">_xlfn.TEXTJOIN(", ", TRUE(), _xlfn._xlws.FILTER(Sbcts_Rcrdngs[Subject],Sbcts_Rcrdngs[Recording]=Rcrdngs[[#This Row],[Text]],"[no subject selected in Subjects_in_Recordings]"))</f>
        <v>[no subject selected in Subjects_in_Recordings]</v>
      </c>
      <c r="F109" s="18">
        <v>44638</v>
      </c>
      <c r="G109" s="134" t="s">
        <v>356</v>
      </c>
      <c r="H109" s="19" t="s">
        <v>274</v>
      </c>
      <c r="I109" s="19" t="s">
        <v>32</v>
      </c>
      <c r="J109" s="178"/>
      <c r="K109" s="153"/>
      <c r="L109" s="61"/>
      <c r="M109" s="20" t="s">
        <v>35</v>
      </c>
      <c r="N109" s="20"/>
      <c r="O109" s="21"/>
      <c r="P109" s="21"/>
      <c r="Q109" s="21"/>
      <c r="R109" s="21"/>
      <c r="S109" s="21"/>
      <c r="T109" s="21"/>
      <c r="U109" s="20" t="s">
        <v>62</v>
      </c>
      <c r="V109" s="22"/>
      <c r="W109" s="23"/>
      <c r="X109" s="24"/>
      <c r="Y109" s="76" t="s">
        <v>39</v>
      </c>
      <c r="Z109" s="76"/>
      <c r="AA109" s="162" t="s">
        <v>357</v>
      </c>
    </row>
    <row r="110" spans="1:27" ht="15" customHeight="1">
      <c r="A110" s="35" t="s">
        <v>358</v>
      </c>
      <c r="B110" s="27"/>
      <c r="C110" s="45" t="s">
        <v>29</v>
      </c>
      <c r="D110" s="17" t="str" cm="1">
        <f t="array" ref="D110">_xlfn.TEXTJOIN(", ", TRUE(), _xlfn._xlws.FILTER(Speakers_in_Recordings!$B$2:$B$1502,Speakers_in_Recordings!$A$2:$A$1502=Rcrdngs[[#This Row],[Text]],"[no speaker selected in Speakers_in_Recordings]"))</f>
        <v>SAU_2022_Speaker14</v>
      </c>
      <c r="E110" s="17" t="str" cm="1">
        <f t="array" ref="E110">_xlfn.TEXTJOIN(", ", TRUE(), _xlfn._xlws.FILTER(Sbcts_Rcrdngs[Subject],Sbcts_Rcrdngs[Recording]=Rcrdngs[[#This Row],[Text]],"[no subject selected in Subjects_in_Recordings]"))</f>
        <v>[no subject selected in Subjects_in_Recordings]</v>
      </c>
      <c r="F110" s="18">
        <v>44638</v>
      </c>
      <c r="G110" s="134" t="s">
        <v>359</v>
      </c>
      <c r="H110" s="19" t="s">
        <v>274</v>
      </c>
      <c r="I110" s="19" t="s">
        <v>32</v>
      </c>
      <c r="J110" s="178"/>
      <c r="K110" s="153"/>
      <c r="L110" s="61"/>
      <c r="M110" s="20" t="s">
        <v>35</v>
      </c>
      <c r="N110" s="20"/>
      <c r="O110" s="21"/>
      <c r="P110" s="21"/>
      <c r="Q110" s="21"/>
      <c r="R110" s="21"/>
      <c r="S110" s="21"/>
      <c r="T110" s="21"/>
      <c r="U110" s="20" t="s">
        <v>62</v>
      </c>
      <c r="V110" s="22"/>
      <c r="W110" s="23"/>
      <c r="X110" s="24"/>
      <c r="Y110" s="76" t="s">
        <v>39</v>
      </c>
      <c r="Z110" s="76"/>
      <c r="AA110" s="162" t="s">
        <v>360</v>
      </c>
    </row>
    <row r="111" spans="1:27" ht="15" customHeight="1">
      <c r="A111" s="35" t="s">
        <v>361</v>
      </c>
      <c r="B111" s="27"/>
      <c r="C111" s="45" t="s">
        <v>29</v>
      </c>
      <c r="D111" s="17" t="str" cm="1">
        <f t="array" ref="D111">_xlfn.TEXTJOIN(", ", TRUE(), _xlfn._xlws.FILTER(Speakers_in_Recordings!$B$2:$B$1502,Speakers_in_Recordings!$A$2:$A$1502=Rcrdngs[[#This Row],[Text]],"[no speaker selected in Speakers_in_Recordings]"))</f>
        <v>SAU_2022_Speaker14</v>
      </c>
      <c r="E111" s="17" t="str" cm="1">
        <f t="array" ref="E111">_xlfn.TEXTJOIN(", ", TRUE(), _xlfn._xlws.FILTER(Sbcts_Rcrdngs[Subject],Sbcts_Rcrdngs[Recording]=Rcrdngs[[#This Row],[Text]],"[no subject selected in Subjects_in_Recordings]"))</f>
        <v>[no subject selected in Subjects_in_Recordings]</v>
      </c>
      <c r="F111" s="18">
        <v>44636</v>
      </c>
      <c r="G111" s="134" t="s">
        <v>362</v>
      </c>
      <c r="H111" s="19" t="s">
        <v>274</v>
      </c>
      <c r="I111" s="19" t="s">
        <v>32</v>
      </c>
      <c r="J111" s="178"/>
      <c r="K111" s="153"/>
      <c r="L111" s="61"/>
      <c r="M111" s="20" t="s">
        <v>35</v>
      </c>
      <c r="N111" s="20"/>
      <c r="O111" s="21"/>
      <c r="P111" s="21"/>
      <c r="Q111" s="21"/>
      <c r="R111" s="21"/>
      <c r="S111" s="21"/>
      <c r="T111" s="21"/>
      <c r="U111" s="20" t="s">
        <v>62</v>
      </c>
      <c r="V111" s="22"/>
      <c r="W111" s="23"/>
      <c r="X111" s="24"/>
      <c r="Y111" s="76" t="s">
        <v>39</v>
      </c>
      <c r="Z111" s="76"/>
      <c r="AA111" s="162" t="s">
        <v>363</v>
      </c>
    </row>
    <row r="112" spans="1:27" ht="15" customHeight="1">
      <c r="A112" s="35" t="s">
        <v>364</v>
      </c>
      <c r="B112" s="27"/>
      <c r="C112" s="45" t="s">
        <v>29</v>
      </c>
      <c r="D112" s="17" t="str" cm="1">
        <f t="array" ref="D112">_xlfn.TEXTJOIN(", ", TRUE(), _xlfn._xlws.FILTER(Speakers_in_Recordings!$B$2:$B$1502,Speakers_in_Recordings!$A$2:$A$1502=Rcrdngs[[#This Row],[Text]],"[no speaker selected in Speakers_in_Recordings]"))</f>
        <v>SAU_2022_Speaker9, SAU_2022_Speaker47</v>
      </c>
      <c r="E112" s="17" t="str" cm="1">
        <f t="array" ref="E112">_xlfn.TEXTJOIN(", ", TRUE(), _xlfn._xlws.FILTER(Sbcts_Rcrdngs[Subject],Sbcts_Rcrdngs[Recording]=Rcrdngs[[#This Row],[Text]],"[no subject selected in Subjects_in_Recordings]"))</f>
        <v>[no subject selected in Subjects_in_Recordings]</v>
      </c>
      <c r="F112" s="18">
        <v>44633</v>
      </c>
      <c r="G112" s="134" t="s">
        <v>365</v>
      </c>
      <c r="H112" s="19" t="s">
        <v>274</v>
      </c>
      <c r="I112" s="19" t="s">
        <v>32</v>
      </c>
      <c r="J112" s="178"/>
      <c r="K112" s="153"/>
      <c r="L112" s="61"/>
      <c r="M112" s="20" t="s">
        <v>35</v>
      </c>
      <c r="N112" s="20"/>
      <c r="O112" s="21"/>
      <c r="P112" s="21"/>
      <c r="Q112" s="21"/>
      <c r="R112" s="21"/>
      <c r="S112" s="21"/>
      <c r="T112" s="21"/>
      <c r="U112" s="20" t="s">
        <v>37</v>
      </c>
      <c r="V112" s="22"/>
      <c r="W112" s="23"/>
      <c r="X112" s="24"/>
      <c r="Y112" s="76" t="s">
        <v>39</v>
      </c>
      <c r="Z112" s="76"/>
      <c r="AA112" s="162" t="s">
        <v>366</v>
      </c>
    </row>
    <row r="113" spans="1:27" ht="15" customHeight="1">
      <c r="A113" s="35" t="s">
        <v>367</v>
      </c>
      <c r="B113" s="27"/>
      <c r="C113" s="45" t="s">
        <v>29</v>
      </c>
      <c r="D113" s="17" t="str" cm="1">
        <f t="array" ref="D113">_xlfn.TEXTJOIN(", ", TRUE(), _xlfn._xlws.FILTER(Speakers_in_Recordings!$B$2:$B$1502,Speakers_in_Recordings!$A$2:$A$1502=Rcrdngs[[#This Row],[Text]],"[no speaker selected in Speakers_in_Recordings]"))</f>
        <v>SAU_2022_Speaker25, SAU_2022_Speaker9</v>
      </c>
      <c r="E113" s="17" t="str" cm="1">
        <f t="array" ref="E113">_xlfn.TEXTJOIN(", ", TRUE(), _xlfn._xlws.FILTER(Sbcts_Rcrdngs[Subject],Sbcts_Rcrdngs[Recording]=Rcrdngs[[#This Row],[Text]],"[no subject selected in Subjects_in_Recordings]"))</f>
        <v>[no subject selected in Subjects_in_Recordings]</v>
      </c>
      <c r="F113" s="18">
        <v>44633</v>
      </c>
      <c r="G113" s="134" t="s">
        <v>368</v>
      </c>
      <c r="H113" s="19" t="s">
        <v>274</v>
      </c>
      <c r="I113" s="19" t="s">
        <v>46</v>
      </c>
      <c r="J113" s="178"/>
      <c r="K113" s="153"/>
      <c r="L113" s="61"/>
      <c r="M113" s="20" t="s">
        <v>35</v>
      </c>
      <c r="N113" s="20"/>
      <c r="O113" s="21"/>
      <c r="P113" s="21"/>
      <c r="Q113" s="21"/>
      <c r="R113" s="21"/>
      <c r="S113" s="21"/>
      <c r="T113" s="21"/>
      <c r="U113" s="20"/>
      <c r="V113" s="22"/>
      <c r="W113" s="23"/>
      <c r="X113" s="24"/>
      <c r="Y113" s="76" t="s">
        <v>39</v>
      </c>
      <c r="Z113" s="76"/>
      <c r="AA113" s="162" t="s">
        <v>369</v>
      </c>
    </row>
    <row r="114" spans="1:27" ht="15" customHeight="1">
      <c r="A114" s="35" t="s">
        <v>370</v>
      </c>
      <c r="B114" s="27"/>
      <c r="C114" s="45" t="s">
        <v>29</v>
      </c>
      <c r="D114" s="17" t="str" cm="1">
        <f t="array" ref="D114">_xlfn.TEXTJOIN(", ", TRUE(), _xlfn._xlws.FILTER(Speakers_in_Recordings!$B$2:$B$1502,Speakers_in_Recordings!$A$2:$A$1502=Rcrdngs[[#This Row],[Text]],"[no speaker selected in Speakers_in_Recordings]"))</f>
        <v>SAU_2022_Speaker43, SAU_2022_Speaker9</v>
      </c>
      <c r="E114" s="17" t="str" cm="1">
        <f t="array" ref="E114">_xlfn.TEXTJOIN(", ", TRUE(), _xlfn._xlws.FILTER(Sbcts_Rcrdngs[Subject],Sbcts_Rcrdngs[Recording]=Rcrdngs[[#This Row],[Text]],"[no subject selected in Subjects_in_Recordings]"))</f>
        <v>[no subject selected in Subjects_in_Recordings]</v>
      </c>
      <c r="F114" s="18">
        <v>44633</v>
      </c>
      <c r="G114" s="134" t="s">
        <v>371</v>
      </c>
      <c r="H114" s="19" t="s">
        <v>274</v>
      </c>
      <c r="I114" s="19" t="s">
        <v>46</v>
      </c>
      <c r="J114" s="178"/>
      <c r="K114" s="153"/>
      <c r="L114" s="61"/>
      <c r="M114" s="20" t="s">
        <v>35</v>
      </c>
      <c r="N114" s="20"/>
      <c r="O114" s="21"/>
      <c r="P114" s="21"/>
      <c r="Q114" s="21"/>
      <c r="R114" s="21"/>
      <c r="S114" s="21"/>
      <c r="T114" s="21"/>
      <c r="U114" s="20"/>
      <c r="V114" s="22"/>
      <c r="W114" s="23"/>
      <c r="X114" s="24"/>
      <c r="Y114" s="76" t="s">
        <v>39</v>
      </c>
      <c r="Z114" s="76"/>
      <c r="AA114" s="162" t="s">
        <v>372</v>
      </c>
    </row>
    <row r="115" spans="1:27" ht="15" customHeight="1">
      <c r="A115" s="35" t="s">
        <v>373</v>
      </c>
      <c r="B115" s="27"/>
      <c r="C115" s="45" t="s">
        <v>29</v>
      </c>
      <c r="D115" s="17" t="str" cm="1">
        <f t="array" ref="D115">_xlfn.TEXTJOIN(", ", TRUE(), _xlfn._xlws.FILTER(Speakers_in_Recordings!$B$2:$B$1502,Speakers_in_Recordings!$A$2:$A$1502=Rcrdngs[[#This Row],[Text]],"[no speaker selected in Speakers_in_Recordings]"))</f>
        <v>SAU_2022_Speaker43, SAU_2022_Speaker9</v>
      </c>
      <c r="E115" s="17" t="str" cm="1">
        <f t="array" ref="E115">_xlfn.TEXTJOIN(", ", TRUE(), _xlfn._xlws.FILTER(Sbcts_Rcrdngs[Subject],Sbcts_Rcrdngs[Recording]=Rcrdngs[[#This Row],[Text]],"[no subject selected in Subjects_in_Recordings]"))</f>
        <v>[no subject selected in Subjects_in_Recordings]</v>
      </c>
      <c r="F115" s="18">
        <v>44633</v>
      </c>
      <c r="G115" s="134" t="s">
        <v>374</v>
      </c>
      <c r="H115" s="19" t="s">
        <v>274</v>
      </c>
      <c r="I115" s="19" t="s">
        <v>46</v>
      </c>
      <c r="J115" s="178"/>
      <c r="K115" s="153"/>
      <c r="L115" s="61"/>
      <c r="M115" s="20" t="s">
        <v>35</v>
      </c>
      <c r="N115" s="20"/>
      <c r="O115" s="21"/>
      <c r="P115" s="21"/>
      <c r="Q115" s="21"/>
      <c r="R115" s="21"/>
      <c r="S115" s="21"/>
      <c r="T115" s="21"/>
      <c r="U115" s="20"/>
      <c r="V115" s="22"/>
      <c r="W115" s="23"/>
      <c r="X115" s="24"/>
      <c r="Y115" s="76" t="s">
        <v>39</v>
      </c>
      <c r="Z115" s="76"/>
      <c r="AA115" s="162" t="s">
        <v>375</v>
      </c>
    </row>
    <row r="116" spans="1:27" ht="15" customHeight="1">
      <c r="A116" s="35" t="s">
        <v>376</v>
      </c>
      <c r="B116" s="27"/>
      <c r="C116" s="45" t="s">
        <v>29</v>
      </c>
      <c r="D116" s="17" t="str" cm="1">
        <f t="array" ref="D116">_xlfn.TEXTJOIN(", ", TRUE(), _xlfn._xlws.FILTER(Speakers_in_Recordings!$B$2:$B$1502,Speakers_in_Recordings!$A$2:$A$1502=Rcrdngs[[#This Row],[Text]],"[no speaker selected in Speakers_in_Recordings]"))</f>
        <v>SAU_2022_Speaker24, SAU_2022_Speaker9</v>
      </c>
      <c r="E116" s="17" t="str" cm="1">
        <f t="array" ref="E116">_xlfn.TEXTJOIN(", ", TRUE(), _xlfn._xlws.FILTER(Sbcts_Rcrdngs[Subject],Sbcts_Rcrdngs[Recording]=Rcrdngs[[#This Row],[Text]],"[no subject selected in Subjects_in_Recordings]"))</f>
        <v>[no subject selected in Subjects_in_Recordings]</v>
      </c>
      <c r="F116" s="18">
        <v>44637</v>
      </c>
      <c r="G116" s="134" t="s">
        <v>377</v>
      </c>
      <c r="H116" s="19" t="s">
        <v>274</v>
      </c>
      <c r="I116" s="19" t="s">
        <v>32</v>
      </c>
      <c r="J116" s="178"/>
      <c r="K116" s="153"/>
      <c r="L116" s="61"/>
      <c r="M116" s="20" t="s">
        <v>35</v>
      </c>
      <c r="N116" s="20"/>
      <c r="O116" s="21"/>
      <c r="P116" s="21"/>
      <c r="Q116" s="21"/>
      <c r="R116" s="21"/>
      <c r="S116" s="21"/>
      <c r="T116" s="21"/>
      <c r="U116" s="20"/>
      <c r="V116" s="22"/>
      <c r="W116" s="23"/>
      <c r="X116" s="24"/>
      <c r="Y116" s="76" t="s">
        <v>39</v>
      </c>
      <c r="Z116" s="76"/>
      <c r="AA116" s="162" t="s">
        <v>378</v>
      </c>
    </row>
    <row r="117" spans="1:27" ht="15" customHeight="1">
      <c r="A117" s="35" t="s">
        <v>379</v>
      </c>
      <c r="B117" s="27"/>
      <c r="C117" s="45" t="s">
        <v>29</v>
      </c>
      <c r="D117" s="17" t="str" cm="1">
        <f t="array" ref="D117">_xlfn.TEXTJOIN(", ", TRUE(), _xlfn._xlws.FILTER(Speakers_in_Recordings!$B$2:$B$1502,Speakers_in_Recordings!$A$2:$A$1502=Rcrdngs[[#This Row],[Text]],"[no speaker selected in Speakers_in_Recordings]"))</f>
        <v>SAU_2022_Speaker9</v>
      </c>
      <c r="E117" s="17" t="str" cm="1">
        <f t="array" ref="E117">_xlfn.TEXTJOIN(", ", TRUE(), _xlfn._xlws.FILTER(Sbcts_Rcrdngs[Subject],Sbcts_Rcrdngs[Recording]=Rcrdngs[[#This Row],[Text]],"[no subject selected in Subjects_in_Recordings]"))</f>
        <v>[no subject selected in Subjects_in_Recordings]</v>
      </c>
      <c r="F117" s="18">
        <v>44635</v>
      </c>
      <c r="G117" s="134" t="s">
        <v>380</v>
      </c>
      <c r="H117" s="19" t="s">
        <v>274</v>
      </c>
      <c r="I117" s="19" t="s">
        <v>46</v>
      </c>
      <c r="J117" s="178"/>
      <c r="K117" s="153"/>
      <c r="L117" s="61"/>
      <c r="M117" s="20" t="s">
        <v>35</v>
      </c>
      <c r="N117" s="20"/>
      <c r="O117" s="21"/>
      <c r="P117" s="21"/>
      <c r="Q117" s="21"/>
      <c r="R117" s="21"/>
      <c r="S117" s="21"/>
      <c r="T117" s="21"/>
      <c r="U117" s="20" t="s">
        <v>37</v>
      </c>
      <c r="V117" s="22"/>
      <c r="W117" s="23"/>
      <c r="X117" s="24"/>
      <c r="Y117" s="76" t="s">
        <v>39</v>
      </c>
      <c r="Z117" s="76"/>
      <c r="AA117" s="162" t="s">
        <v>381</v>
      </c>
    </row>
    <row r="118" spans="1:27" ht="15" customHeight="1">
      <c r="A118" s="35" t="s">
        <v>382</v>
      </c>
      <c r="B118" s="27"/>
      <c r="C118" s="45" t="s">
        <v>29</v>
      </c>
      <c r="D118" s="17" t="str" cm="1">
        <f t="array" ref="D118">_xlfn.TEXTJOIN(", ", TRUE(), _xlfn._xlws.FILTER(Speakers_in_Recordings!$B$2:$B$1502,Speakers_in_Recordings!$A$2:$A$1502=Rcrdngs[[#This Row],[Text]],"[no speaker selected in Speakers_in_Recordings]"))</f>
        <v>SAU_2022_Speaker9</v>
      </c>
      <c r="E118" s="17" t="str" cm="1">
        <f t="array" ref="E118">_xlfn.TEXTJOIN(", ", TRUE(), _xlfn._xlws.FILTER(Sbcts_Rcrdngs[Subject],Sbcts_Rcrdngs[Recording]=Rcrdngs[[#This Row],[Text]],"[no subject selected in Subjects_in_Recordings]"))</f>
        <v>[no subject selected in Subjects_in_Recordings]</v>
      </c>
      <c r="F118" s="18">
        <v>44635</v>
      </c>
      <c r="G118" s="134" t="s">
        <v>383</v>
      </c>
      <c r="H118" s="19" t="s">
        <v>274</v>
      </c>
      <c r="I118" s="19" t="s">
        <v>46</v>
      </c>
      <c r="J118" s="178"/>
      <c r="K118" s="153"/>
      <c r="L118" s="61"/>
      <c r="M118" s="20" t="s">
        <v>35</v>
      </c>
      <c r="N118" s="20"/>
      <c r="O118" s="21"/>
      <c r="P118" s="21"/>
      <c r="Q118" s="21"/>
      <c r="R118" s="21"/>
      <c r="S118" s="21"/>
      <c r="T118" s="21"/>
      <c r="U118" s="20" t="s">
        <v>37</v>
      </c>
      <c r="V118" s="22"/>
      <c r="W118" s="23"/>
      <c r="X118" s="24"/>
      <c r="Y118" s="76" t="s">
        <v>39</v>
      </c>
      <c r="Z118" s="76"/>
      <c r="AA118" s="162" t="s">
        <v>384</v>
      </c>
    </row>
    <row r="119" spans="1:27" ht="15" customHeight="1">
      <c r="A119" s="35" t="s">
        <v>385</v>
      </c>
      <c r="B119" s="27"/>
      <c r="C119" s="45" t="s">
        <v>29</v>
      </c>
      <c r="D119" s="17" t="str" cm="1">
        <f t="array" ref="D119">_xlfn.TEXTJOIN(", ", TRUE(), _xlfn._xlws.FILTER(Speakers_in_Recordings!$B$2:$B$1502,Speakers_in_Recordings!$A$2:$A$1502=Rcrdngs[[#This Row],[Text]],"[no speaker selected in Speakers_in_Recordings]"))</f>
        <v>SAU_2022_Speaker9</v>
      </c>
      <c r="E119" s="17" t="str" cm="1">
        <f t="array" ref="E119">_xlfn.TEXTJOIN(", ", TRUE(), _xlfn._xlws.FILTER(Sbcts_Rcrdngs[Subject],Sbcts_Rcrdngs[Recording]=Rcrdngs[[#This Row],[Text]],"[no subject selected in Subjects_in_Recordings]"))</f>
        <v>[no subject selected in Subjects_in_Recordings]</v>
      </c>
      <c r="F119" s="18">
        <v>44635</v>
      </c>
      <c r="G119" s="134" t="s">
        <v>386</v>
      </c>
      <c r="H119" s="19" t="s">
        <v>274</v>
      </c>
      <c r="I119" s="19" t="s">
        <v>46</v>
      </c>
      <c r="J119" s="178"/>
      <c r="K119" s="153"/>
      <c r="L119" s="61"/>
      <c r="M119" s="20" t="s">
        <v>35</v>
      </c>
      <c r="N119" s="20"/>
      <c r="O119" s="21"/>
      <c r="P119" s="21"/>
      <c r="Q119" s="21"/>
      <c r="R119" s="21"/>
      <c r="S119" s="21"/>
      <c r="T119" s="21"/>
      <c r="U119" s="20" t="s">
        <v>37</v>
      </c>
      <c r="V119" s="22"/>
      <c r="W119" s="23"/>
      <c r="X119" s="24"/>
      <c r="Y119" s="76" t="s">
        <v>39</v>
      </c>
      <c r="Z119" s="76"/>
      <c r="AA119" s="162" t="s">
        <v>387</v>
      </c>
    </row>
    <row r="120" spans="1:27" ht="15" customHeight="1">
      <c r="A120" s="35" t="s">
        <v>388</v>
      </c>
      <c r="B120" s="27"/>
      <c r="C120" s="45" t="s">
        <v>29</v>
      </c>
      <c r="D120" s="17" t="str" cm="1">
        <f t="array" ref="D120">_xlfn.TEXTJOIN(", ", TRUE(), _xlfn._xlws.FILTER(Speakers_in_Recordings!$B$2:$B$1502,Speakers_in_Recordings!$A$2:$A$1502=Rcrdngs[[#This Row],[Text]],"[no speaker selected in Speakers_in_Recordings]"))</f>
        <v>SAU_2022_Speaker9</v>
      </c>
      <c r="E120" s="17" t="str" cm="1">
        <f t="array" ref="E120">_xlfn.TEXTJOIN(", ", TRUE(), _xlfn._xlws.FILTER(Sbcts_Rcrdngs[Subject],Sbcts_Rcrdngs[Recording]=Rcrdngs[[#This Row],[Text]],"[no subject selected in Subjects_in_Recordings]"))</f>
        <v>[no subject selected in Subjects_in_Recordings]</v>
      </c>
      <c r="F120" s="18">
        <v>44635</v>
      </c>
      <c r="G120" s="134" t="s">
        <v>229</v>
      </c>
      <c r="H120" s="19" t="s">
        <v>274</v>
      </c>
      <c r="I120" s="19" t="s">
        <v>46</v>
      </c>
      <c r="J120" s="178"/>
      <c r="K120" s="153"/>
      <c r="L120" s="61"/>
      <c r="M120" s="20" t="s">
        <v>35</v>
      </c>
      <c r="N120" s="20"/>
      <c r="O120" s="21"/>
      <c r="P120" s="21"/>
      <c r="Q120" s="21"/>
      <c r="R120" s="21"/>
      <c r="S120" s="21"/>
      <c r="T120" s="21"/>
      <c r="U120" s="20" t="s">
        <v>37</v>
      </c>
      <c r="V120" s="22"/>
      <c r="W120" s="23"/>
      <c r="X120" s="24"/>
      <c r="Y120" s="76" t="s">
        <v>39</v>
      </c>
      <c r="Z120" s="76"/>
      <c r="AA120" s="162" t="s">
        <v>389</v>
      </c>
    </row>
    <row r="121" spans="1:27" ht="15" customHeight="1">
      <c r="A121" s="35" t="s">
        <v>390</v>
      </c>
      <c r="B121" s="35"/>
      <c r="C121" s="45" t="s">
        <v>29</v>
      </c>
      <c r="D121" s="17" t="str" cm="1">
        <f t="array" ref="D121">_xlfn.TEXTJOIN(", ", TRUE(), _xlfn._xlws.FILTER(Speakers_in_Recordings!$B$2:$B$1502,Speakers_in_Recordings!$A$2:$A$1502=Rcrdngs[[#This Row],[Text]],"[no speaker selected in Speakers_in_Recordings]"))</f>
        <v>SAU_2022_Speaker9</v>
      </c>
      <c r="E121" s="17" t="str" cm="1">
        <f t="array" ref="E121">_xlfn.TEXTJOIN(", ", TRUE(), _xlfn._xlws.FILTER(Sbcts_Rcrdngs[Subject],Sbcts_Rcrdngs[Recording]=Rcrdngs[[#This Row],[Text]],"[no subject selected in Subjects_in_Recordings]"))</f>
        <v>[no subject selected in Subjects_in_Recordings]</v>
      </c>
      <c r="F121" s="18">
        <v>44635</v>
      </c>
      <c r="G121" s="134" t="s">
        <v>391</v>
      </c>
      <c r="H121" s="19" t="s">
        <v>274</v>
      </c>
      <c r="I121" s="19" t="s">
        <v>32</v>
      </c>
      <c r="J121" s="178"/>
      <c r="K121" s="153"/>
      <c r="L121" s="61"/>
      <c r="M121" s="20" t="s">
        <v>35</v>
      </c>
      <c r="N121" s="20"/>
      <c r="O121" s="21"/>
      <c r="P121" s="21"/>
      <c r="Q121" s="21"/>
      <c r="R121" s="21"/>
      <c r="S121" s="21"/>
      <c r="T121" s="21"/>
      <c r="U121" s="20" t="s">
        <v>37</v>
      </c>
      <c r="V121" s="22"/>
      <c r="W121" s="23"/>
      <c r="X121" s="24"/>
      <c r="Y121" s="76" t="s">
        <v>39</v>
      </c>
      <c r="Z121" s="76"/>
      <c r="AA121" s="162" t="s">
        <v>392</v>
      </c>
    </row>
    <row r="122" spans="1:27" ht="15" customHeight="1">
      <c r="A122" s="35" t="s">
        <v>393</v>
      </c>
      <c r="B122" s="27"/>
      <c r="C122" s="45" t="s">
        <v>29</v>
      </c>
      <c r="D122" s="17" t="str" cm="1">
        <f t="array" ref="D122">_xlfn.TEXTJOIN(", ", TRUE(), _xlfn._xlws.FILTER(Speakers_in_Recordings!$B$2:$B$1502,Speakers_in_Recordings!$A$2:$A$1502=Rcrdngs[[#This Row],[Text]],"[no speaker selected in Speakers_in_Recordings]"))</f>
        <v>SAU_2022_Speaker9</v>
      </c>
      <c r="E122" s="17" t="str" cm="1">
        <f t="array" ref="E122">_xlfn.TEXTJOIN(", ", TRUE(), _xlfn._xlws.FILTER(Sbcts_Rcrdngs[Subject],Sbcts_Rcrdngs[Recording]=Rcrdngs[[#This Row],[Text]],"[no subject selected in Subjects_in_Recordings]"))</f>
        <v>[no subject selected in Subjects_in_Recordings]</v>
      </c>
      <c r="F122" s="18">
        <v>44635</v>
      </c>
      <c r="G122" s="134" t="s">
        <v>394</v>
      </c>
      <c r="H122" s="19" t="s">
        <v>274</v>
      </c>
      <c r="I122" s="19" t="s">
        <v>46</v>
      </c>
      <c r="J122" s="178"/>
      <c r="K122" s="153"/>
      <c r="L122" s="61"/>
      <c r="M122" s="20" t="s">
        <v>35</v>
      </c>
      <c r="N122" s="20"/>
      <c r="O122" s="21"/>
      <c r="P122" s="21"/>
      <c r="Q122" s="21"/>
      <c r="R122" s="21"/>
      <c r="S122" s="21"/>
      <c r="T122" s="21"/>
      <c r="U122" s="20" t="s">
        <v>37</v>
      </c>
      <c r="V122" s="22"/>
      <c r="W122" s="23"/>
      <c r="X122" s="24"/>
      <c r="Y122" s="76" t="s">
        <v>39</v>
      </c>
      <c r="Z122" s="76"/>
      <c r="AA122" s="162" t="s">
        <v>395</v>
      </c>
    </row>
    <row r="123" spans="1:27" ht="15" customHeight="1">
      <c r="A123" s="35" t="s">
        <v>396</v>
      </c>
      <c r="B123" s="27"/>
      <c r="C123" s="45" t="s">
        <v>29</v>
      </c>
      <c r="D123" s="17" t="str" cm="1">
        <f t="array" ref="D123">_xlfn.TEXTJOIN(", ", TRUE(), _xlfn._xlws.FILTER(Speakers_in_Recordings!$B$2:$B$1502,Speakers_in_Recordings!$A$2:$A$1502=Rcrdngs[[#This Row],[Text]],"[no speaker selected in Speakers_in_Recordings]"))</f>
        <v>SAU_2022_Speaker9</v>
      </c>
      <c r="E123" s="17" t="str" cm="1">
        <f t="array" ref="E123">_xlfn.TEXTJOIN(", ", TRUE(), _xlfn._xlws.FILTER(Sbcts_Rcrdngs[Subject],Sbcts_Rcrdngs[Recording]=Rcrdngs[[#This Row],[Text]],"[no subject selected in Subjects_in_Recordings]"))</f>
        <v>[no subject selected in Subjects_in_Recordings]</v>
      </c>
      <c r="F123" s="18">
        <v>44635</v>
      </c>
      <c r="G123" s="134" t="s">
        <v>397</v>
      </c>
      <c r="H123" s="19" t="s">
        <v>274</v>
      </c>
      <c r="I123" s="19" t="s">
        <v>32</v>
      </c>
      <c r="J123" s="178"/>
      <c r="K123" s="153"/>
      <c r="L123" s="61"/>
      <c r="M123" s="20" t="s">
        <v>35</v>
      </c>
      <c r="N123" s="20"/>
      <c r="O123" s="21"/>
      <c r="P123" s="21"/>
      <c r="Q123" s="21"/>
      <c r="R123" s="21"/>
      <c r="S123" s="21"/>
      <c r="T123" s="21"/>
      <c r="U123" s="20" t="s">
        <v>37</v>
      </c>
      <c r="V123" s="22"/>
      <c r="W123" s="23"/>
      <c r="X123" s="24"/>
      <c r="Y123" s="76" t="s">
        <v>39</v>
      </c>
      <c r="Z123" s="76"/>
      <c r="AA123" s="162" t="s">
        <v>398</v>
      </c>
    </row>
    <row r="124" spans="1:27" ht="15" customHeight="1">
      <c r="A124" s="35" t="s">
        <v>399</v>
      </c>
      <c r="B124" s="27"/>
      <c r="C124" s="45" t="s">
        <v>29</v>
      </c>
      <c r="D124" s="17" t="str" cm="1">
        <f t="array" ref="D124">_xlfn.TEXTJOIN(", ", TRUE(), _xlfn._xlws.FILTER(Speakers_in_Recordings!$B$2:$B$1502,Speakers_in_Recordings!$A$2:$A$1502=Rcrdngs[[#This Row],[Text]],"[no speaker selected in Speakers_in_Recordings]"))</f>
        <v>SAU_2022_Speaker14</v>
      </c>
      <c r="E124" s="17" t="str" cm="1">
        <f t="array" ref="E124">_xlfn.TEXTJOIN(", ", TRUE(), _xlfn._xlws.FILTER(Sbcts_Rcrdngs[Subject],Sbcts_Rcrdngs[Recording]=Rcrdngs[[#This Row],[Text]],"[no subject selected in Subjects_in_Recordings]"))</f>
        <v>[no subject selected in Subjects_in_Recordings]</v>
      </c>
      <c r="F124" s="18">
        <v>44636</v>
      </c>
      <c r="G124" s="134" t="s">
        <v>400</v>
      </c>
      <c r="H124" s="19" t="s">
        <v>274</v>
      </c>
      <c r="I124" s="19" t="s">
        <v>32</v>
      </c>
      <c r="J124" s="178"/>
      <c r="K124" s="153"/>
      <c r="L124" s="61"/>
      <c r="M124" s="20" t="s">
        <v>35</v>
      </c>
      <c r="N124" s="20"/>
      <c r="O124" s="21"/>
      <c r="P124" s="21"/>
      <c r="Q124" s="21"/>
      <c r="R124" s="21"/>
      <c r="S124" s="21"/>
      <c r="T124" s="21"/>
      <c r="U124" s="20" t="s">
        <v>62</v>
      </c>
      <c r="V124" s="22"/>
      <c r="W124" s="23"/>
      <c r="X124" s="24"/>
      <c r="Y124" s="76" t="s">
        <v>39</v>
      </c>
      <c r="Z124" s="76"/>
      <c r="AA124" s="162" t="s">
        <v>401</v>
      </c>
    </row>
    <row r="125" spans="1:27" ht="15" customHeight="1">
      <c r="A125" s="35" t="s">
        <v>402</v>
      </c>
      <c r="B125" s="27"/>
      <c r="C125" s="45" t="s">
        <v>29</v>
      </c>
      <c r="D125" s="17" t="str" cm="1">
        <f t="array" ref="D125">_xlfn.TEXTJOIN(", ", TRUE(), _xlfn._xlws.FILTER(Speakers_in_Recordings!$B$2:$B$1502,Speakers_in_Recordings!$A$2:$A$1502=Rcrdngs[[#This Row],[Text]],"[no speaker selected in Speakers_in_Recordings]"))</f>
        <v>SAU_2022_Speaker14</v>
      </c>
      <c r="E125" s="17" t="str" cm="1">
        <f t="array" ref="E125">_xlfn.TEXTJOIN(", ", TRUE(), _xlfn._xlws.FILTER(Sbcts_Rcrdngs[Subject],Sbcts_Rcrdngs[Recording]=Rcrdngs[[#This Row],[Text]],"[no subject selected in Subjects_in_Recordings]"))</f>
        <v>[no subject selected in Subjects_in_Recordings]</v>
      </c>
      <c r="F125" s="18">
        <v>44636</v>
      </c>
      <c r="G125" s="134" t="s">
        <v>403</v>
      </c>
      <c r="H125" s="19" t="s">
        <v>274</v>
      </c>
      <c r="I125" s="19" t="s">
        <v>32</v>
      </c>
      <c r="J125" s="178"/>
      <c r="K125" s="153"/>
      <c r="L125" s="61"/>
      <c r="M125" s="20" t="s">
        <v>35</v>
      </c>
      <c r="N125" s="20"/>
      <c r="O125" s="21"/>
      <c r="P125" s="21"/>
      <c r="Q125" s="21"/>
      <c r="R125" s="21"/>
      <c r="S125" s="21"/>
      <c r="T125" s="21"/>
      <c r="U125" s="20" t="s">
        <v>62</v>
      </c>
      <c r="V125" s="22"/>
      <c r="W125" s="23"/>
      <c r="X125" s="24"/>
      <c r="Y125" s="76" t="s">
        <v>39</v>
      </c>
      <c r="Z125" s="76"/>
      <c r="AA125" s="162" t="s">
        <v>404</v>
      </c>
    </row>
    <row r="126" spans="1:27" ht="15" customHeight="1">
      <c r="A126" s="35" t="s">
        <v>405</v>
      </c>
      <c r="B126" s="27"/>
      <c r="C126" s="45" t="s">
        <v>29</v>
      </c>
      <c r="D126" s="17" t="str" cm="1">
        <f t="array" ref="D126">_xlfn.TEXTJOIN(", ", TRUE(), _xlfn._xlws.FILTER(Speakers_in_Recordings!$B$2:$B$1502,Speakers_in_Recordings!$A$2:$A$1502=Rcrdngs[[#This Row],[Text]],"[no speaker selected in Speakers_in_Recordings]"))</f>
        <v>SAU_2022_Speaker28</v>
      </c>
      <c r="E126" s="17" t="str" cm="1">
        <f t="array" ref="E126">_xlfn.TEXTJOIN(", ", TRUE(), _xlfn._xlws.FILTER(Sbcts_Rcrdngs[Subject],Sbcts_Rcrdngs[Recording]=Rcrdngs[[#This Row],[Text]],"[no subject selected in Subjects_in_Recordings]"))</f>
        <v>[no subject selected in Subjects_in_Recordings]</v>
      </c>
      <c r="F126" s="18">
        <v>44636</v>
      </c>
      <c r="G126" s="134" t="s">
        <v>406</v>
      </c>
      <c r="H126" s="19" t="s">
        <v>274</v>
      </c>
      <c r="I126" s="19" t="s">
        <v>32</v>
      </c>
      <c r="J126" s="178"/>
      <c r="K126" s="153"/>
      <c r="L126" s="61"/>
      <c r="M126" s="20" t="s">
        <v>35</v>
      </c>
      <c r="N126" s="20"/>
      <c r="O126" s="21"/>
      <c r="P126" s="21"/>
      <c r="Q126" s="21"/>
      <c r="R126" s="21"/>
      <c r="S126" s="21"/>
      <c r="T126" s="21"/>
      <c r="U126" s="20" t="s">
        <v>62</v>
      </c>
      <c r="V126" s="22"/>
      <c r="W126" s="23"/>
      <c r="X126" s="24"/>
      <c r="Y126" s="76" t="s">
        <v>39</v>
      </c>
      <c r="Z126" s="76"/>
      <c r="AA126" s="162" t="s">
        <v>407</v>
      </c>
    </row>
    <row r="127" spans="1:27" ht="15" customHeight="1">
      <c r="A127" s="35" t="s">
        <v>408</v>
      </c>
      <c r="B127" s="27"/>
      <c r="C127" s="45" t="s">
        <v>29</v>
      </c>
      <c r="D127" s="17" t="str" cm="1">
        <f t="array" ref="D127">_xlfn.TEXTJOIN(", ", TRUE(), _xlfn._xlws.FILTER(Speakers_in_Recordings!$B$2:$B$1502,Speakers_in_Recordings!$A$2:$A$1502=Rcrdngs[[#This Row],[Text]],"[no speaker selected in Speakers_in_Recordings]"))</f>
        <v>SAU_2022_Speaker29</v>
      </c>
      <c r="E127" s="17" t="str" cm="1">
        <f t="array" ref="E127">_xlfn.TEXTJOIN(", ", TRUE(), _xlfn._xlws.FILTER(Sbcts_Rcrdngs[Subject],Sbcts_Rcrdngs[Recording]=Rcrdngs[[#This Row],[Text]],"[no subject selected in Subjects_in_Recordings]"))</f>
        <v>[no subject selected in Subjects_in_Recordings]</v>
      </c>
      <c r="F127" s="18">
        <v>44637</v>
      </c>
      <c r="G127" s="134" t="s">
        <v>409</v>
      </c>
      <c r="H127" s="19" t="s">
        <v>274</v>
      </c>
      <c r="I127" s="19" t="s">
        <v>46</v>
      </c>
      <c r="J127" s="178"/>
      <c r="K127" s="153"/>
      <c r="L127" s="61"/>
      <c r="M127" s="20" t="s">
        <v>35</v>
      </c>
      <c r="N127" s="20"/>
      <c r="O127" s="21"/>
      <c r="P127" s="21"/>
      <c r="Q127" s="21"/>
      <c r="R127" s="21"/>
      <c r="S127" s="21"/>
      <c r="T127" s="21"/>
      <c r="U127" s="20"/>
      <c r="V127" s="22"/>
      <c r="W127" s="23"/>
      <c r="X127" s="24"/>
      <c r="Y127" s="76" t="s">
        <v>39</v>
      </c>
      <c r="Z127" s="76"/>
      <c r="AA127" s="162" t="s">
        <v>410</v>
      </c>
    </row>
    <row r="128" spans="1:27" ht="15" customHeight="1">
      <c r="A128" s="35" t="s">
        <v>411</v>
      </c>
      <c r="B128" s="27"/>
      <c r="C128" s="45" t="s">
        <v>29</v>
      </c>
      <c r="D128" s="17" t="str" cm="1">
        <f t="array" ref="D128">_xlfn.TEXTJOIN(", ", TRUE(), _xlfn._xlws.FILTER(Speakers_in_Recordings!$B$2:$B$1502,Speakers_in_Recordings!$A$2:$A$1502=Rcrdngs[[#This Row],[Text]],"[no speaker selected in Speakers_in_Recordings]"))</f>
        <v>SAU_2022_Speaker9, SAU_2022_Speaker21</v>
      </c>
      <c r="E128" s="17" t="str" cm="1">
        <f t="array" ref="E128">_xlfn.TEXTJOIN(", ", TRUE(), _xlfn._xlws.FILTER(Sbcts_Rcrdngs[Subject],Sbcts_Rcrdngs[Recording]=Rcrdngs[[#This Row],[Text]],"[no subject selected in Subjects_in_Recordings]"))</f>
        <v>[no subject selected in Subjects_in_Recordings]</v>
      </c>
      <c r="F128" s="18">
        <v>44637</v>
      </c>
      <c r="G128" s="134" t="s">
        <v>412</v>
      </c>
      <c r="H128" s="19" t="s">
        <v>274</v>
      </c>
      <c r="I128" s="19" t="s">
        <v>46</v>
      </c>
      <c r="J128" s="178"/>
      <c r="K128" s="153"/>
      <c r="L128" s="61"/>
      <c r="M128" s="20" t="s">
        <v>35</v>
      </c>
      <c r="N128" s="20"/>
      <c r="O128" s="21"/>
      <c r="P128" s="21"/>
      <c r="Q128" s="21"/>
      <c r="R128" s="21"/>
      <c r="S128" s="21"/>
      <c r="T128" s="21"/>
      <c r="U128" s="20"/>
      <c r="V128" s="22"/>
      <c r="W128" s="23"/>
      <c r="X128" s="24"/>
      <c r="Y128" s="76" t="s">
        <v>39</v>
      </c>
      <c r="Z128" s="76"/>
      <c r="AA128" s="162" t="s">
        <v>413</v>
      </c>
    </row>
    <row r="129" spans="1:31" ht="15" customHeight="1">
      <c r="A129" s="35" t="s">
        <v>414</v>
      </c>
      <c r="B129" s="27"/>
      <c r="C129" s="45" t="s">
        <v>29</v>
      </c>
      <c r="D129" s="17" t="str" cm="1">
        <f t="array" ref="D129">_xlfn.TEXTJOIN(", ", TRUE(), _xlfn._xlws.FILTER(Speakers_in_Recordings!$B$2:$B$1502,Speakers_in_Recordings!$A$2:$A$1502=Rcrdngs[[#This Row],[Text]],"[no speaker selected in Speakers_in_Recordings]"))</f>
        <v>SAU_2022_Speaker9, SAU_2022_Speaker50</v>
      </c>
      <c r="E129" s="17" t="str" cm="1">
        <f t="array" ref="E129">_xlfn.TEXTJOIN(", ", TRUE(), _xlfn._xlws.FILTER(Sbcts_Rcrdngs[Subject],Sbcts_Rcrdngs[Recording]=Rcrdngs[[#This Row],[Text]],"[no subject selected in Subjects_in_Recordings]"))</f>
        <v>[no subject selected in Subjects_in_Recordings]</v>
      </c>
      <c r="F129" s="18">
        <v>44637</v>
      </c>
      <c r="G129" s="134" t="s">
        <v>277</v>
      </c>
      <c r="H129" s="19" t="s">
        <v>274</v>
      </c>
      <c r="I129" s="19" t="s">
        <v>46</v>
      </c>
      <c r="J129" s="178"/>
      <c r="K129" s="153"/>
      <c r="L129" s="61"/>
      <c r="M129" s="20" t="s">
        <v>35</v>
      </c>
      <c r="N129" s="20"/>
      <c r="O129" s="21"/>
      <c r="P129" s="21"/>
      <c r="Q129" s="21"/>
      <c r="R129" s="21"/>
      <c r="S129" s="21"/>
      <c r="T129" s="21"/>
      <c r="U129" s="20"/>
      <c r="V129" s="22"/>
      <c r="W129" s="23"/>
      <c r="X129" s="24"/>
      <c r="Y129" s="76" t="s">
        <v>39</v>
      </c>
      <c r="Z129" s="76"/>
      <c r="AA129" s="162" t="s">
        <v>415</v>
      </c>
    </row>
    <row r="130" spans="1:31" ht="15" customHeight="1">
      <c r="A130" s="35" t="s">
        <v>416</v>
      </c>
      <c r="B130" s="27"/>
      <c r="C130" s="45" t="s">
        <v>29</v>
      </c>
      <c r="D130" s="17" t="str" cm="1">
        <f t="array" ref="D130">_xlfn.TEXTJOIN(", ", TRUE(), _xlfn._xlws.FILTER(Speakers_in_Recordings!$B$2:$B$1502,Speakers_in_Recordings!$A$2:$A$1502=Rcrdngs[[#This Row],[Text]],"[no speaker selected in Speakers_in_Recordings]"))</f>
        <v>SAU_2022_Speaker51, SAU_2022_Speaker9</v>
      </c>
      <c r="E130" s="17" t="str" cm="1">
        <f t="array" ref="E130">_xlfn.TEXTJOIN(", ", TRUE(), _xlfn._xlws.FILTER(Sbcts_Rcrdngs[Subject],Sbcts_Rcrdngs[Recording]=Rcrdngs[[#This Row],[Text]],"[no subject selected in Subjects_in_Recordings]"))</f>
        <v>[no subject selected in Subjects_in_Recordings]</v>
      </c>
      <c r="F130" s="18">
        <v>44637</v>
      </c>
      <c r="G130" s="134" t="s">
        <v>417</v>
      </c>
      <c r="H130" s="19" t="s">
        <v>274</v>
      </c>
      <c r="I130" s="19" t="s">
        <v>46</v>
      </c>
      <c r="J130" s="178"/>
      <c r="K130" s="153"/>
      <c r="L130" s="61"/>
      <c r="M130" s="20" t="s">
        <v>35</v>
      </c>
      <c r="N130" s="20"/>
      <c r="O130" s="21"/>
      <c r="P130" s="21"/>
      <c r="Q130" s="21"/>
      <c r="R130" s="21"/>
      <c r="S130" s="21"/>
      <c r="T130" s="21"/>
      <c r="U130" s="20"/>
      <c r="V130" s="22"/>
      <c r="W130" s="23"/>
      <c r="X130" s="24"/>
      <c r="Y130" s="76" t="s">
        <v>39</v>
      </c>
      <c r="Z130" s="76"/>
      <c r="AA130" s="162" t="s">
        <v>418</v>
      </c>
    </row>
    <row r="131" spans="1:31" ht="15" customHeight="1">
      <c r="A131" s="35" t="s">
        <v>419</v>
      </c>
      <c r="B131" s="27"/>
      <c r="C131" s="45" t="s">
        <v>29</v>
      </c>
      <c r="D131" s="17" t="str" cm="1">
        <f t="array" ref="D131">_xlfn.TEXTJOIN(", ", TRUE(), _xlfn._xlws.FILTER(Speakers_in_Recordings!$B$2:$B$1502,Speakers_in_Recordings!$A$2:$A$1502=Rcrdngs[[#This Row],[Text]],"[no speaker selected in Speakers_in_Recordings]"))</f>
        <v>SAU_2022_Speaker9, SAU_2022_Speaker52</v>
      </c>
      <c r="E131" s="17" t="str" cm="1">
        <f t="array" ref="E131">_xlfn.TEXTJOIN(", ", TRUE(), _xlfn._xlws.FILTER(Sbcts_Rcrdngs[Subject],Sbcts_Rcrdngs[Recording]=Rcrdngs[[#This Row],[Text]],"[no subject selected in Subjects_in_Recordings]"))</f>
        <v>[no subject selected in Subjects_in_Recordings]</v>
      </c>
      <c r="F131" s="18">
        <v>44637</v>
      </c>
      <c r="G131" s="134" t="s">
        <v>420</v>
      </c>
      <c r="H131" s="19" t="s">
        <v>274</v>
      </c>
      <c r="I131" s="19" t="s">
        <v>46</v>
      </c>
      <c r="J131" s="178"/>
      <c r="K131" s="153"/>
      <c r="L131" s="61"/>
      <c r="M131" s="20" t="s">
        <v>35</v>
      </c>
      <c r="N131" s="20"/>
      <c r="O131" s="21"/>
      <c r="P131" s="21"/>
      <c r="Q131" s="21"/>
      <c r="R131" s="21"/>
      <c r="S131" s="21"/>
      <c r="T131" s="21"/>
      <c r="U131" s="20"/>
      <c r="V131" s="22"/>
      <c r="W131" s="23"/>
      <c r="X131" s="24"/>
      <c r="Y131" s="76" t="s">
        <v>39</v>
      </c>
      <c r="Z131" s="76"/>
      <c r="AA131" s="162" t="s">
        <v>421</v>
      </c>
    </row>
    <row r="132" spans="1:31" ht="15" customHeight="1">
      <c r="A132" s="35" t="s">
        <v>422</v>
      </c>
      <c r="B132" s="27"/>
      <c r="C132" s="45" t="s">
        <v>29</v>
      </c>
      <c r="D132" s="17" t="str" cm="1">
        <f t="array" ref="D132">_xlfn.TEXTJOIN(", ", TRUE(), _xlfn._xlws.FILTER(Speakers_in_Recordings!$B$2:$B$1502,Speakers_in_Recordings!$A$2:$A$1502=Rcrdngs[[#This Row],[Text]],"[no speaker selected in Speakers_in_Recordings]"))</f>
        <v>SAU_2022_Speaker35</v>
      </c>
      <c r="E132" s="17" t="str" cm="1">
        <f t="array" ref="E132">_xlfn.TEXTJOIN(", ", TRUE(), _xlfn._xlws.FILTER(Sbcts_Rcrdngs[Subject],Sbcts_Rcrdngs[Recording]=Rcrdngs[[#This Row],[Text]],"[no subject selected in Subjects_in_Recordings]"))</f>
        <v>[no subject selected in Subjects_in_Recordings]</v>
      </c>
      <c r="F132" s="18">
        <v>44639</v>
      </c>
      <c r="G132" s="134" t="s">
        <v>423</v>
      </c>
      <c r="H132" s="19" t="s">
        <v>274</v>
      </c>
      <c r="I132" s="19" t="s">
        <v>32</v>
      </c>
      <c r="J132" s="178"/>
      <c r="K132" s="153"/>
      <c r="L132" s="61"/>
      <c r="M132" s="20" t="s">
        <v>35</v>
      </c>
      <c r="N132" s="20"/>
      <c r="O132" s="21"/>
      <c r="P132" s="21"/>
      <c r="Q132" s="21"/>
      <c r="R132" s="21"/>
      <c r="S132" s="21"/>
      <c r="T132" s="21"/>
      <c r="U132" s="20"/>
      <c r="V132" s="22"/>
      <c r="W132" s="23"/>
      <c r="X132" s="24"/>
      <c r="Y132" s="76" t="s">
        <v>39</v>
      </c>
      <c r="Z132" s="76"/>
      <c r="AA132" s="162" t="s">
        <v>424</v>
      </c>
    </row>
    <row r="133" spans="1:31" ht="15" customHeight="1">
      <c r="A133" s="35" t="s">
        <v>425</v>
      </c>
      <c r="B133" s="27"/>
      <c r="C133" s="45" t="s">
        <v>29</v>
      </c>
      <c r="D133" s="17" t="str" cm="1">
        <f t="array" ref="D133">_xlfn.TEXTJOIN(", ", TRUE(), _xlfn._xlws.FILTER(Speakers_in_Recordings!$B$2:$B$1502,Speakers_in_Recordings!$A$2:$A$1502=Rcrdngs[[#This Row],[Text]],"[no speaker selected in Speakers_in_Recordings]"))</f>
        <v>SAU_2022_Speaker32</v>
      </c>
      <c r="E133" s="17" t="str" cm="1">
        <f t="array" ref="E133">_xlfn.TEXTJOIN(", ", TRUE(), _xlfn._xlws.FILTER(Sbcts_Rcrdngs[Subject],Sbcts_Rcrdngs[Recording]=Rcrdngs[[#This Row],[Text]],"[no subject selected in Subjects_in_Recordings]"))</f>
        <v>[no subject selected in Subjects_in_Recordings]</v>
      </c>
      <c r="F133" s="18">
        <v>44636</v>
      </c>
      <c r="G133" s="134" t="s">
        <v>426</v>
      </c>
      <c r="H133" s="19" t="s">
        <v>274</v>
      </c>
      <c r="I133" s="19" t="s">
        <v>32</v>
      </c>
      <c r="J133" s="178"/>
      <c r="K133" s="153"/>
      <c r="L133" s="61"/>
      <c r="M133" s="20" t="s">
        <v>35</v>
      </c>
      <c r="N133" s="20"/>
      <c r="O133" s="21"/>
      <c r="P133" s="21"/>
      <c r="Q133" s="21"/>
      <c r="R133" s="21"/>
      <c r="S133" s="21"/>
      <c r="T133" s="21"/>
      <c r="U133" s="20"/>
      <c r="V133" s="22"/>
      <c r="W133" s="23"/>
      <c r="X133" s="24"/>
      <c r="Y133" s="76" t="s">
        <v>39</v>
      </c>
      <c r="Z133" s="76"/>
      <c r="AA133" s="162" t="s">
        <v>427</v>
      </c>
    </row>
    <row r="134" spans="1:31" ht="15" customHeight="1">
      <c r="A134" s="35" t="s">
        <v>428</v>
      </c>
      <c r="B134" s="27"/>
      <c r="C134" s="45" t="s">
        <v>29</v>
      </c>
      <c r="D134" s="17" t="str" cm="1">
        <f t="array" ref="D134">_xlfn.TEXTJOIN(", ", TRUE(), _xlfn._xlws.FILTER(Speakers_in_Recordings!$B$2:$B$1502,Speakers_in_Recordings!$A$2:$A$1502=Rcrdngs[[#This Row],[Text]],"[no speaker selected in Speakers_in_Recordings]"))</f>
        <v>SAU_2022_Speaker49</v>
      </c>
      <c r="E134" s="17" t="str" cm="1">
        <f t="array" ref="E134">_xlfn.TEXTJOIN(", ", TRUE(), _xlfn._xlws.FILTER(Sbcts_Rcrdngs[Subject],Sbcts_Rcrdngs[Recording]=Rcrdngs[[#This Row],[Text]],"[no subject selected in Subjects_in_Recordings]"))</f>
        <v>[no subject selected in Subjects_in_Recordings]</v>
      </c>
      <c r="F134" s="18">
        <v>44636</v>
      </c>
      <c r="G134" s="134" t="s">
        <v>429</v>
      </c>
      <c r="H134" s="19" t="s">
        <v>274</v>
      </c>
      <c r="I134" s="19" t="s">
        <v>32</v>
      </c>
      <c r="J134" s="178"/>
      <c r="K134" s="153"/>
      <c r="L134" s="61"/>
      <c r="M134" s="20" t="s">
        <v>35</v>
      </c>
      <c r="N134" s="20"/>
      <c r="O134" s="21"/>
      <c r="P134" s="21"/>
      <c r="Q134" s="21"/>
      <c r="R134" s="21"/>
      <c r="S134" s="21"/>
      <c r="T134" s="21"/>
      <c r="U134" s="20"/>
      <c r="V134" s="22"/>
      <c r="W134" s="23"/>
      <c r="X134" s="24"/>
      <c r="Y134" s="76" t="s">
        <v>39</v>
      </c>
      <c r="Z134" s="76"/>
      <c r="AA134" s="162" t="s">
        <v>430</v>
      </c>
    </row>
    <row r="135" spans="1:31" ht="15" customHeight="1">
      <c r="A135" s="35"/>
      <c r="B135" s="27"/>
      <c r="C135" s="45"/>
      <c r="D135" s="17" t="str" cm="1">
        <f t="array" ref="D135">_xlfn.TEXTJOIN(", ", TRUE(), _xlfn._xlws.FILTER(Speakers_in_Recordings!$B$2:$B$1502,Speakers_in_Recordings!$A$2:$A$1502=Rcrdngs[[#This Row],[Text]],"[no speaker selected in Speakers_in_Recordings]"))</f>
        <v/>
      </c>
      <c r="E135" s="17" t="str" cm="1">
        <f t="array" ref="E135">_xlfn.TEXTJOIN(", ", TRUE(), _xlfn._xlws.FILTER(Sbcts_Rcrdngs[Subject],Sbcts_Rcrdngs[Recording]=Rcrdngs[[#This Row],[Text]],"[no subject selected in Subjects_in_Recordings]"))</f>
        <v/>
      </c>
      <c r="F135" s="18"/>
      <c r="G135" s="134"/>
      <c r="H135" s="19"/>
      <c r="I135" s="19"/>
      <c r="J135" s="178"/>
      <c r="K135" s="178"/>
      <c r="L135" s="61"/>
      <c r="M135" s="20"/>
      <c r="N135" s="20"/>
      <c r="O135" s="21"/>
      <c r="P135" s="21"/>
      <c r="Q135" s="21"/>
      <c r="R135" s="21"/>
      <c r="S135" s="21"/>
      <c r="T135" s="21"/>
      <c r="U135" s="20"/>
      <c r="V135" s="22"/>
      <c r="W135" s="23"/>
      <c r="X135" s="24"/>
      <c r="Y135" s="76"/>
      <c r="Z135" s="76"/>
      <c r="AA135" s="162"/>
    </row>
    <row r="136" spans="1:31" s="130" customFormat="1" ht="15" customHeight="1">
      <c r="A136" s="136" t="s">
        <v>431</v>
      </c>
      <c r="B136" s="27" t="s">
        <v>432</v>
      </c>
      <c r="C136" s="123" t="s">
        <v>433</v>
      </c>
      <c r="D136" s="124" t="str" cm="1">
        <f t="array" ref="D136">_xlfn.TEXTJOIN(", ", TRUE(), _xlfn._xlws.FILTER(Speakers_in_Recordings!$B$2:$B$1502,Speakers_in_Recordings!$A$2:$A$1502=Rcrdngs[[#This Row],[Text]],"[no speaker selected in Speakers_in_Recordings]"))</f>
        <v>RSD_JOR_2024_Speaker1, RSD_JOR_2024_Son</v>
      </c>
      <c r="E136" s="124" t="str" cm="1">
        <f t="array" ref="E136">_xlfn.TEXTJOIN(", ", TRUE(), _xlfn._xlws.FILTER(Sbcts_Rcrdngs[Subject],Sbcts_Rcrdngs[Recording]=Rcrdngs[[#This Row],[Text]],"[no subject selected in Subjects_in_Recordings]"))</f>
        <v>Marriage</v>
      </c>
      <c r="F136" s="125">
        <v>45408</v>
      </c>
      <c r="G136" s="134" t="s">
        <v>434</v>
      </c>
      <c r="H136" s="49" t="s">
        <v>31</v>
      </c>
      <c r="I136" s="49" t="s">
        <v>32</v>
      </c>
      <c r="J136" s="153" t="s">
        <v>32</v>
      </c>
      <c r="K136" s="153" t="s">
        <v>33</v>
      </c>
      <c r="L136" s="126" t="s">
        <v>34</v>
      </c>
      <c r="M136" s="123" t="s">
        <v>36</v>
      </c>
      <c r="N136" s="123" t="s">
        <v>36</v>
      </c>
      <c r="O136" s="123"/>
      <c r="P136" s="123"/>
      <c r="Q136" s="123"/>
      <c r="R136" s="123"/>
      <c r="S136" s="123"/>
      <c r="T136" s="123"/>
      <c r="U136" s="123" t="s">
        <v>435</v>
      </c>
      <c r="V136" s="127"/>
      <c r="W136" s="128"/>
      <c r="X136" s="24"/>
      <c r="Y136" s="129" t="s">
        <v>39</v>
      </c>
      <c r="Z136" s="76"/>
      <c r="AA136" s="162" t="s">
        <v>436</v>
      </c>
      <c r="AB136" s="189"/>
      <c r="AC136" s="189"/>
      <c r="AD136" s="189"/>
      <c r="AE136" s="189"/>
    </row>
    <row r="137" spans="1:31" s="130" customFormat="1" ht="14.25" customHeight="1">
      <c r="A137" s="136" t="s">
        <v>432</v>
      </c>
      <c r="B137" s="27"/>
      <c r="C137" s="123" t="s">
        <v>433</v>
      </c>
      <c r="D137" s="124" t="str" cm="1">
        <f t="array" ref="D137">_xlfn.TEXTJOIN(", ", TRUE(), _xlfn._xlws.FILTER(Speakers_in_Recordings!$B$2:$B$1502,Speakers_in_Recordings!$A$2:$A$1502=Rcrdngs[[#This Row],[Text]],"[no speaker selected in Speakers_in_Recordings]"))</f>
        <v>RSD_JOR_2024_Speaker1, RSD_JOR_2024_Rebecca</v>
      </c>
      <c r="E137" s="124" t="str" cm="1">
        <f t="array" ref="E137">_xlfn.TEXTJOIN(", ", TRUE(), _xlfn._xlws.FILTER(Sbcts_Rcrdngs[Subject],Sbcts_Rcrdngs[Recording]=Rcrdngs[[#This Row],[Text]],"[no subject selected in Subjects_in_Recordings]"))</f>
        <v>Marriage</v>
      </c>
      <c r="F137" s="125">
        <v>45408</v>
      </c>
      <c r="G137" s="134" t="s">
        <v>437</v>
      </c>
      <c r="H137" s="49" t="s">
        <v>31</v>
      </c>
      <c r="I137" s="49" t="s">
        <v>32</v>
      </c>
      <c r="J137" s="153" t="s">
        <v>32</v>
      </c>
      <c r="K137" s="153" t="s">
        <v>33</v>
      </c>
      <c r="L137" s="126" t="s">
        <v>34</v>
      </c>
      <c r="M137" s="123" t="s">
        <v>36</v>
      </c>
      <c r="N137" s="123" t="s">
        <v>36</v>
      </c>
      <c r="O137" s="123"/>
      <c r="P137" s="123"/>
      <c r="Q137" s="123"/>
      <c r="R137" s="123"/>
      <c r="S137" s="123"/>
      <c r="T137" s="123"/>
      <c r="U137" s="123" t="s">
        <v>435</v>
      </c>
      <c r="V137" s="127"/>
      <c r="W137" s="128"/>
      <c r="X137" s="24"/>
      <c r="Y137" s="129" t="s">
        <v>39</v>
      </c>
      <c r="Z137" s="76"/>
      <c r="AA137" s="162" t="s">
        <v>438</v>
      </c>
      <c r="AB137" s="189"/>
      <c r="AC137" s="189"/>
      <c r="AD137" s="189"/>
      <c r="AE137" s="189"/>
    </row>
    <row r="138" spans="1:31" s="130" customFormat="1" ht="14.25" customHeight="1">
      <c r="A138" s="137" t="s">
        <v>439</v>
      </c>
      <c r="B138" s="27" t="s">
        <v>440</v>
      </c>
      <c r="C138" s="123" t="s">
        <v>433</v>
      </c>
      <c r="D138" s="124" t="str" cm="1">
        <f t="array" ref="D138">_xlfn.TEXTJOIN(", ", TRUE(), _xlfn._xlws.FILTER(Speakers_in_Recordings!$B$2:$B$1502,Speakers_in_Recordings!$A$2:$A$1502=Rcrdngs[[#This Row],[Text]],"[no speaker selected in Speakers_in_Recordings]"))</f>
        <v>RSD_JOR_2024_Speaker12, RSD_JOR_2024_SXR_1</v>
      </c>
      <c r="E138" s="124" t="str" cm="1">
        <f t="array" ref="E138">_xlfn.TEXTJOIN(", ", TRUE(), _xlfn._xlws.FILTER(Sbcts_Rcrdngs[Subject],Sbcts_Rcrdngs[Recording]=Rcrdngs[[#This Row],[Text]],"[no subject selected in Subjects_in_Recordings]"))</f>
        <v>Tribal Traditions, Tribal History</v>
      </c>
      <c r="F138" s="125">
        <v>45411</v>
      </c>
      <c r="G138" s="134" t="s">
        <v>441</v>
      </c>
      <c r="H138" s="49" t="s">
        <v>31</v>
      </c>
      <c r="I138" s="49" t="s">
        <v>46</v>
      </c>
      <c r="J138" s="153" t="s">
        <v>32</v>
      </c>
      <c r="K138" s="153" t="s">
        <v>33</v>
      </c>
      <c r="L138" s="126" t="s">
        <v>34</v>
      </c>
      <c r="M138" s="123" t="s">
        <v>36</v>
      </c>
      <c r="N138" s="123" t="s">
        <v>36</v>
      </c>
      <c r="O138" s="123"/>
      <c r="P138" s="123"/>
      <c r="Q138" s="123"/>
      <c r="R138" s="123"/>
      <c r="S138" s="123"/>
      <c r="T138" s="123"/>
      <c r="U138" s="123" t="s">
        <v>442</v>
      </c>
      <c r="V138" s="127"/>
      <c r="W138" s="128"/>
      <c r="X138" s="24"/>
      <c r="Y138" s="129" t="s">
        <v>39</v>
      </c>
      <c r="Z138" s="76"/>
      <c r="AA138" s="162" t="s">
        <v>443</v>
      </c>
      <c r="AB138" s="189"/>
      <c r="AC138" s="189"/>
      <c r="AD138" s="189"/>
      <c r="AE138" s="189"/>
    </row>
    <row r="139" spans="1:31" s="130" customFormat="1" ht="14.25" customHeight="1">
      <c r="A139" s="137" t="s">
        <v>440</v>
      </c>
      <c r="B139" s="27" t="s">
        <v>444</v>
      </c>
      <c r="C139" s="123" t="s">
        <v>433</v>
      </c>
      <c r="D139" s="124" t="str" cm="1">
        <f t="array" ref="D139">_xlfn.TEXTJOIN(", ", TRUE(), _xlfn._xlws.FILTER(Speakers_in_Recordings!$B$2:$B$1502,Speakers_in_Recordings!$A$2:$A$1502=Rcrdngs[[#This Row],[Text]],"[no speaker selected in Speakers_in_Recordings]"))</f>
        <v>RSD_JOR_2024_Speaker12, RSD_JOR_2024_SXR_1, RSD_JOR_2024_Speaker11</v>
      </c>
      <c r="E139" s="124" t="str" cm="1">
        <f t="array" ref="E139">_xlfn.TEXTJOIN(", ", TRUE(), _xlfn._xlws.FILTER(Sbcts_Rcrdngs[Subject],Sbcts_Rcrdngs[Recording]=Rcrdngs[[#This Row],[Text]],"[no subject selected in Subjects_in_Recordings]"))</f>
        <v>Tribal Traditions, Tribal History</v>
      </c>
      <c r="F139" s="125">
        <v>45411</v>
      </c>
      <c r="G139" s="134" t="s">
        <v>445</v>
      </c>
      <c r="H139" s="49" t="s">
        <v>31</v>
      </c>
      <c r="I139" s="49" t="s">
        <v>46</v>
      </c>
      <c r="J139" s="153" t="s">
        <v>32</v>
      </c>
      <c r="K139" s="153" t="s">
        <v>33</v>
      </c>
      <c r="L139" s="126" t="s">
        <v>34</v>
      </c>
      <c r="M139" s="123" t="s">
        <v>36</v>
      </c>
      <c r="N139" s="123" t="s">
        <v>36</v>
      </c>
      <c r="O139" s="123"/>
      <c r="P139" s="123"/>
      <c r="Q139" s="123"/>
      <c r="R139" s="123"/>
      <c r="S139" s="123"/>
      <c r="T139" s="123"/>
      <c r="U139" s="123" t="s">
        <v>442</v>
      </c>
      <c r="V139" s="127"/>
      <c r="W139" s="128"/>
      <c r="X139" s="24"/>
      <c r="Y139" s="129" t="s">
        <v>39</v>
      </c>
      <c r="Z139" s="76"/>
      <c r="AA139" s="162" t="s">
        <v>446</v>
      </c>
      <c r="AB139" s="189"/>
      <c r="AC139" s="189"/>
      <c r="AD139" s="189"/>
      <c r="AE139" s="189"/>
    </row>
    <row r="140" spans="1:31" s="130" customFormat="1" ht="14.25" customHeight="1">
      <c r="A140" s="137" t="s">
        <v>444</v>
      </c>
      <c r="B140" s="27" t="s">
        <v>447</v>
      </c>
      <c r="C140" s="123" t="s">
        <v>433</v>
      </c>
      <c r="D140" s="124" t="str" cm="1">
        <f t="array" ref="D140">_xlfn.TEXTJOIN(", ", TRUE(), _xlfn._xlws.FILTER(Speakers_in_Recordings!$B$2:$B$1502,Speakers_in_Recordings!$A$2:$A$1502=Rcrdngs[[#This Row],[Text]],"[no speaker selected in Speakers_in_Recordings]"))</f>
        <v>RSD_JOR_2024_Speaker12</v>
      </c>
      <c r="E140" s="124" t="str" cm="1">
        <f t="array" ref="E140">_xlfn.TEXTJOIN(", ", TRUE(), _xlfn._xlws.FILTER(Sbcts_Rcrdngs[Subject],Sbcts_Rcrdngs[Recording]=Rcrdngs[[#This Row],[Text]],"[no subject selected in Subjects_in_Recordings]"))</f>
        <v>Tribal Traditions, Tribal History</v>
      </c>
      <c r="F140" s="125">
        <v>45411</v>
      </c>
      <c r="G140" s="134" t="s">
        <v>448</v>
      </c>
      <c r="H140" s="49" t="s">
        <v>31</v>
      </c>
      <c r="I140" s="49" t="s">
        <v>46</v>
      </c>
      <c r="J140" s="153" t="s">
        <v>32</v>
      </c>
      <c r="K140" s="153" t="s">
        <v>33</v>
      </c>
      <c r="L140" s="126" t="s">
        <v>34</v>
      </c>
      <c r="M140" s="123" t="s">
        <v>36</v>
      </c>
      <c r="N140" s="123" t="s">
        <v>36</v>
      </c>
      <c r="O140" s="123"/>
      <c r="P140" s="123"/>
      <c r="Q140" s="123"/>
      <c r="R140" s="123"/>
      <c r="S140" s="123"/>
      <c r="T140" s="123"/>
      <c r="U140" s="123" t="s">
        <v>442</v>
      </c>
      <c r="V140" s="127"/>
      <c r="W140" s="128"/>
      <c r="X140" s="24"/>
      <c r="Y140" s="129" t="s">
        <v>39</v>
      </c>
      <c r="Z140" s="76"/>
      <c r="AA140" s="162" t="s">
        <v>449</v>
      </c>
      <c r="AB140" s="189"/>
      <c r="AC140" s="189"/>
      <c r="AD140" s="189"/>
      <c r="AE140" s="189"/>
    </row>
    <row r="141" spans="1:31" s="130" customFormat="1" ht="15" customHeight="1">
      <c r="A141" s="137" t="s">
        <v>447</v>
      </c>
      <c r="B141" s="27"/>
      <c r="C141" s="123" t="s">
        <v>433</v>
      </c>
      <c r="D141" s="124" t="str" cm="1">
        <f t="array" ref="D141">_xlfn.TEXTJOIN(", ", TRUE(), _xlfn._xlws.FILTER(Speakers_in_Recordings!$B$2:$B$1502,Speakers_in_Recordings!$A$2:$A$1502=Rcrdngs[[#This Row],[Text]],"[no speaker selected in Speakers_in_Recordings]"))</f>
        <v>RSD_JOR_2024_SXR_1, RSD_JOR_2024_Speaker12, RSD_JOR_2024_Rebecca</v>
      </c>
      <c r="E141" s="124" t="str" cm="1">
        <f t="array" ref="E141">_xlfn.TEXTJOIN(", ", TRUE(), _xlfn._xlws.FILTER(Sbcts_Rcrdngs[Subject],Sbcts_Rcrdngs[Recording]=Rcrdngs[[#This Row],[Text]],"[no subject selected in Subjects_in_Recordings]"))</f>
        <v>Marriage</v>
      </c>
      <c r="F141" s="125">
        <v>45411</v>
      </c>
      <c r="G141" s="134" t="s">
        <v>450</v>
      </c>
      <c r="H141" s="49" t="s">
        <v>31</v>
      </c>
      <c r="I141" s="49" t="s">
        <v>46</v>
      </c>
      <c r="J141" s="153" t="s">
        <v>32</v>
      </c>
      <c r="K141" s="153" t="s">
        <v>33</v>
      </c>
      <c r="L141" s="126" t="s">
        <v>34</v>
      </c>
      <c r="M141" s="123" t="s">
        <v>36</v>
      </c>
      <c r="N141" s="123" t="s">
        <v>36</v>
      </c>
      <c r="O141" s="123"/>
      <c r="P141" s="123"/>
      <c r="Q141" s="123"/>
      <c r="R141" s="123"/>
      <c r="S141" s="123"/>
      <c r="T141" s="123"/>
      <c r="U141" s="123" t="s">
        <v>442</v>
      </c>
      <c r="V141" s="127"/>
      <c r="W141" s="128"/>
      <c r="X141" s="24"/>
      <c r="Y141" s="129" t="s">
        <v>39</v>
      </c>
      <c r="Z141" s="76"/>
      <c r="AA141" s="162" t="s">
        <v>451</v>
      </c>
      <c r="AB141" s="189"/>
      <c r="AC141" s="189"/>
      <c r="AD141" s="189"/>
      <c r="AE141" s="189"/>
    </row>
    <row r="142" spans="1:31" s="130" customFormat="1" ht="15" customHeight="1">
      <c r="A142" s="137" t="s">
        <v>452</v>
      </c>
      <c r="B142" s="27"/>
      <c r="C142" s="123" t="s">
        <v>433</v>
      </c>
      <c r="D142" s="124" t="str" cm="1">
        <f t="array" ref="D142">_xlfn.TEXTJOIN(", ", TRUE(), _xlfn._xlws.FILTER(Speakers_in_Recordings!$B$2:$B$1502,Speakers_in_Recordings!$A$2:$A$1502=Rcrdngs[[#This Row],[Text]],"[no speaker selected in Speakers_in_Recordings]"))</f>
        <v>RSD_JOR_2024_Speaker2, RSD_JOR_2024_Speaker3, RSD_JOR_2024_Speaker4, RSD_JOR_2024_Rebecca</v>
      </c>
      <c r="E142" s="124" t="str" cm="1">
        <f t="array" ref="E142">_xlfn.TEXTJOIN(", ", TRUE(), _xlfn._xlws.FILTER(Sbcts_Rcrdngs[Subject],Sbcts_Rcrdngs[Recording]=Rcrdngs[[#This Row],[Text]],"[no subject selected in Subjects_in_Recordings]"))</f>
        <v>Marriage</v>
      </c>
      <c r="F142" s="125">
        <v>45408</v>
      </c>
      <c r="G142" s="134" t="s">
        <v>453</v>
      </c>
      <c r="H142" s="49" t="s">
        <v>31</v>
      </c>
      <c r="I142" s="49" t="s">
        <v>32</v>
      </c>
      <c r="J142" s="153" t="s">
        <v>32</v>
      </c>
      <c r="K142" s="153" t="s">
        <v>33</v>
      </c>
      <c r="L142" s="126" t="s">
        <v>34</v>
      </c>
      <c r="M142" s="123" t="s">
        <v>36</v>
      </c>
      <c r="N142" s="123" t="s">
        <v>36</v>
      </c>
      <c r="O142" s="123"/>
      <c r="P142" s="123"/>
      <c r="Q142" s="123"/>
      <c r="R142" s="123"/>
      <c r="S142" s="123"/>
      <c r="T142" s="123"/>
      <c r="U142" s="123" t="s">
        <v>435</v>
      </c>
      <c r="V142" s="127"/>
      <c r="W142" s="128"/>
      <c r="X142" s="24"/>
      <c r="Y142" s="129" t="s">
        <v>39</v>
      </c>
      <c r="Z142" s="76"/>
      <c r="AA142" s="162" t="s">
        <v>454</v>
      </c>
      <c r="AB142" s="189"/>
      <c r="AC142" s="189"/>
      <c r="AD142" s="189"/>
      <c r="AE142" s="189"/>
    </row>
    <row r="143" spans="1:31" s="130" customFormat="1" ht="15" customHeight="1">
      <c r="A143" s="137" t="s">
        <v>455</v>
      </c>
      <c r="B143" s="27" t="s">
        <v>456</v>
      </c>
      <c r="C143" s="123" t="s">
        <v>433</v>
      </c>
      <c r="D143" s="124" t="str" cm="1">
        <f t="array" ref="D143">_xlfn.TEXTJOIN(", ", TRUE(), _xlfn._xlws.FILTER(Speakers_in_Recordings!$B$2:$B$1502,Speakers_in_Recordings!$A$2:$A$1502=Rcrdngs[[#This Row],[Text]],"[no speaker selected in Speakers_in_Recordings]"))</f>
        <v>RSD_JOR_2024_Speaker2, RSD_JOR_2024_Speaker3, RSD_JOR_2024_Speaker4, RSD_JOR_2024_Rebecca, RSD_JOR_2024_SXR_1</v>
      </c>
      <c r="E143" s="124" t="str" cm="1">
        <f t="array" ref="E143">_xlfn.TEXTJOIN(", ", TRUE(), _xlfn._xlws.FILTER(Sbcts_Rcrdngs[Subject],Sbcts_Rcrdngs[Recording]=Rcrdngs[[#This Row],[Text]],"[no subject selected in Subjects_in_Recordings]"))</f>
        <v>Tribal History</v>
      </c>
      <c r="F143" s="125">
        <v>45408</v>
      </c>
      <c r="G143" s="134" t="s">
        <v>457</v>
      </c>
      <c r="H143" s="49" t="s">
        <v>31</v>
      </c>
      <c r="I143" s="49" t="s">
        <v>32</v>
      </c>
      <c r="J143" s="153" t="s">
        <v>32</v>
      </c>
      <c r="K143" s="153" t="s">
        <v>33</v>
      </c>
      <c r="L143" s="126" t="s">
        <v>34</v>
      </c>
      <c r="M143" s="123" t="s">
        <v>36</v>
      </c>
      <c r="N143" s="123" t="s">
        <v>36</v>
      </c>
      <c r="O143" s="123"/>
      <c r="P143" s="123"/>
      <c r="Q143" s="123"/>
      <c r="R143" s="123"/>
      <c r="S143" s="123"/>
      <c r="T143" s="123"/>
      <c r="U143" s="123" t="s">
        <v>435</v>
      </c>
      <c r="V143" s="127"/>
      <c r="W143" s="128"/>
      <c r="X143" s="24"/>
      <c r="Y143" s="129" t="s">
        <v>39</v>
      </c>
      <c r="Z143" s="76"/>
      <c r="AA143" s="162" t="s">
        <v>458</v>
      </c>
      <c r="AB143" s="189"/>
      <c r="AC143" s="189"/>
      <c r="AD143" s="189"/>
      <c r="AE143" s="189"/>
    </row>
    <row r="144" spans="1:31" s="130" customFormat="1" ht="15" customHeight="1">
      <c r="A144" s="137" t="s">
        <v>456</v>
      </c>
      <c r="B144" s="27" t="s">
        <v>452</v>
      </c>
      <c r="C144" s="123" t="s">
        <v>433</v>
      </c>
      <c r="D144" s="124" t="str" cm="1">
        <f t="array" ref="D144">_xlfn.TEXTJOIN(", ", TRUE(), _xlfn._xlws.FILTER(Speakers_in_Recordings!$B$2:$B$1502,Speakers_in_Recordings!$A$2:$A$1502=Rcrdngs[[#This Row],[Text]],"[no speaker selected in Speakers_in_Recordings]"))</f>
        <v>RSD_JOR_2024_Speaker2, RSD_JOR_2024_Speaker3, RSD_JOR_2024_Speaker4, RSD_JOR_2024_Rebecca</v>
      </c>
      <c r="E144" s="124" t="str" cm="1">
        <f t="array" ref="E144">_xlfn.TEXTJOIN(", ", TRUE(), _xlfn._xlws.FILTER(Sbcts_Rcrdngs[Subject],Sbcts_Rcrdngs[Recording]=Rcrdngs[[#This Row],[Text]],"[no subject selected in Subjects_in_Recordings]"))</f>
        <v>Marriage, Language and identity, Women's work</v>
      </c>
      <c r="F144" s="125">
        <v>45408</v>
      </c>
      <c r="G144" s="134" t="s">
        <v>459</v>
      </c>
      <c r="H144" s="49" t="s">
        <v>31</v>
      </c>
      <c r="I144" s="49" t="s">
        <v>32</v>
      </c>
      <c r="J144" s="153" t="s">
        <v>32</v>
      </c>
      <c r="K144" s="153" t="s">
        <v>33</v>
      </c>
      <c r="L144" s="126" t="s">
        <v>34</v>
      </c>
      <c r="M144" s="123" t="s">
        <v>36</v>
      </c>
      <c r="N144" s="123" t="s">
        <v>36</v>
      </c>
      <c r="O144" s="123"/>
      <c r="P144" s="123"/>
      <c r="Q144" s="123"/>
      <c r="R144" s="123"/>
      <c r="S144" s="123"/>
      <c r="T144" s="123"/>
      <c r="U144" s="123" t="s">
        <v>435</v>
      </c>
      <c r="V144" s="127"/>
      <c r="W144" s="128"/>
      <c r="X144" s="24"/>
      <c r="Y144" s="129" t="s">
        <v>39</v>
      </c>
      <c r="Z144" s="76"/>
      <c r="AA144" s="162" t="s">
        <v>460</v>
      </c>
      <c r="AB144" s="189"/>
      <c r="AC144" s="189"/>
      <c r="AD144" s="189"/>
      <c r="AE144" s="189"/>
    </row>
    <row r="145" spans="1:31" s="130" customFormat="1" ht="15" customHeight="1">
      <c r="A145" s="137" t="s">
        <v>461</v>
      </c>
      <c r="B145" s="27" t="s">
        <v>462</v>
      </c>
      <c r="C145" s="123" t="s">
        <v>433</v>
      </c>
      <c r="D145" s="124" t="str" cm="1">
        <f t="array" ref="D145">_xlfn.TEXTJOIN(", ", TRUE(), _xlfn._xlws.FILTER(Speakers_in_Recordings!$B$2:$B$1502,Speakers_in_Recordings!$A$2:$A$1502=Rcrdngs[[#This Row],[Text]],"[no speaker selected in Speakers_in_Recordings]"))</f>
        <v>RSD_JOR_2024_Speaker13, RSD_JOR_2024_Rebecca, RSD_JOR_2024_SXR_3</v>
      </c>
      <c r="E145" s="124" t="str" cm="1">
        <f t="array" ref="E145">_xlfn.TEXTJOIN(", ", TRUE(), _xlfn._xlws.FILTER(Sbcts_Rcrdngs[Subject],Sbcts_Rcrdngs[Recording]=Rcrdngs[[#This Row],[Text]],"[no subject selected in Subjects_in_Recordings]"))</f>
        <v>Tribal History</v>
      </c>
      <c r="F145" s="125">
        <v>45418</v>
      </c>
      <c r="G145" s="134" t="s">
        <v>463</v>
      </c>
      <c r="H145" s="49" t="s">
        <v>31</v>
      </c>
      <c r="I145" s="49" t="s">
        <v>32</v>
      </c>
      <c r="J145" s="153" t="s">
        <v>32</v>
      </c>
      <c r="K145" s="153" t="s">
        <v>33</v>
      </c>
      <c r="L145" s="126" t="s">
        <v>34</v>
      </c>
      <c r="M145" s="123" t="s">
        <v>36</v>
      </c>
      <c r="N145" s="123" t="s">
        <v>36</v>
      </c>
      <c r="O145" s="123"/>
      <c r="P145" s="123"/>
      <c r="Q145" s="123"/>
      <c r="R145" s="123"/>
      <c r="S145" s="123"/>
      <c r="T145" s="123"/>
      <c r="U145" s="123"/>
      <c r="V145" s="127"/>
      <c r="W145" s="128"/>
      <c r="X145" s="24"/>
      <c r="Y145" s="129" t="s">
        <v>39</v>
      </c>
      <c r="Z145" s="76"/>
      <c r="AA145" s="162" t="s">
        <v>464</v>
      </c>
      <c r="AB145" s="189"/>
      <c r="AC145" s="189"/>
      <c r="AD145" s="189"/>
      <c r="AE145" s="189"/>
    </row>
    <row r="146" spans="1:31" s="130" customFormat="1" ht="15" customHeight="1">
      <c r="A146" s="137" t="s">
        <v>462</v>
      </c>
      <c r="B146" s="27" t="s">
        <v>465</v>
      </c>
      <c r="C146" s="123" t="s">
        <v>433</v>
      </c>
      <c r="D146" s="124" t="str" cm="1">
        <f t="array" ref="D146">_xlfn.TEXTJOIN(", ", TRUE(), _xlfn._xlws.FILTER(Speakers_in_Recordings!$B$2:$B$1502,Speakers_in_Recordings!$A$2:$A$1502=Rcrdngs[[#This Row],[Text]],"[no speaker selected in Speakers_in_Recordings]"))</f>
        <v>RSD_JOR_2024_Speaker13, RSD_JOR_2024_Rebecca, RSD_JOR_2024_Speaker15</v>
      </c>
      <c r="E146" s="124" t="str" cm="1">
        <f t="array" ref="E146">_xlfn.TEXTJOIN(", ", TRUE(), _xlfn._xlws.FILTER(Sbcts_Rcrdngs[Subject],Sbcts_Rcrdngs[Recording]=Rcrdngs[[#This Row],[Text]],"[no subject selected in Subjects_in_Recordings]"))</f>
        <v>Tribal History</v>
      </c>
      <c r="F146" s="125">
        <v>45418</v>
      </c>
      <c r="G146" s="134" t="s">
        <v>466</v>
      </c>
      <c r="H146" s="49" t="s">
        <v>31</v>
      </c>
      <c r="I146" s="49" t="s">
        <v>32</v>
      </c>
      <c r="J146" s="153" t="s">
        <v>32</v>
      </c>
      <c r="K146" s="153" t="s">
        <v>33</v>
      </c>
      <c r="L146" s="126" t="s">
        <v>34</v>
      </c>
      <c r="M146" s="123" t="s">
        <v>36</v>
      </c>
      <c r="N146" s="123" t="s">
        <v>36</v>
      </c>
      <c r="O146" s="123"/>
      <c r="P146" s="123"/>
      <c r="Q146" s="123"/>
      <c r="R146" s="123"/>
      <c r="S146" s="123"/>
      <c r="T146" s="123"/>
      <c r="U146" s="123"/>
      <c r="V146" s="127"/>
      <c r="W146" s="128"/>
      <c r="X146" s="24"/>
      <c r="Y146" s="129" t="s">
        <v>39</v>
      </c>
      <c r="Z146" s="76"/>
      <c r="AA146" s="162" t="s">
        <v>467</v>
      </c>
      <c r="AB146" s="189"/>
      <c r="AC146" s="189"/>
      <c r="AD146" s="189"/>
      <c r="AE146" s="189"/>
    </row>
    <row r="147" spans="1:31" s="130" customFormat="1" ht="15" customHeight="1">
      <c r="A147" s="137" t="s">
        <v>465</v>
      </c>
      <c r="B147" s="27" t="s">
        <v>468</v>
      </c>
      <c r="C147" s="123" t="s">
        <v>433</v>
      </c>
      <c r="D147" s="124" t="str" cm="1">
        <f t="array" ref="D147">_xlfn.TEXTJOIN(", ", TRUE(), _xlfn._xlws.FILTER(Speakers_in_Recordings!$B$2:$B$1502,Speakers_in_Recordings!$A$2:$A$1502=Rcrdngs[[#This Row],[Text]],"[no speaker selected in Speakers_in_Recordings]"))</f>
        <v>RSD_JOR_2024_Speaker13, RSD_JOR_2024_Rebecca, RSD_JOR_2024_Speaker15, RSD_JOR_2024_Speaker16, RSD_JOR_2024_SXR_3</v>
      </c>
      <c r="E147" s="124" t="str" cm="1">
        <f t="array" ref="E147">_xlfn.TEXTJOIN(", ", TRUE(), _xlfn._xlws.FILTER(Sbcts_Rcrdngs[Subject],Sbcts_Rcrdngs[Recording]=Rcrdngs[[#This Row],[Text]],"[no subject selected in Subjects_in_Recordings]"))</f>
        <v>Tribal History</v>
      </c>
      <c r="F147" s="125">
        <v>45418</v>
      </c>
      <c r="G147" s="134" t="s">
        <v>469</v>
      </c>
      <c r="H147" s="49" t="s">
        <v>31</v>
      </c>
      <c r="I147" s="49" t="s">
        <v>32</v>
      </c>
      <c r="J147" s="153" t="s">
        <v>32</v>
      </c>
      <c r="K147" s="153" t="s">
        <v>33</v>
      </c>
      <c r="L147" s="126" t="s">
        <v>34</v>
      </c>
      <c r="M147" s="123" t="s">
        <v>36</v>
      </c>
      <c r="N147" s="123" t="s">
        <v>36</v>
      </c>
      <c r="O147" s="123"/>
      <c r="P147" s="123"/>
      <c r="Q147" s="123"/>
      <c r="R147" s="123"/>
      <c r="S147" s="123"/>
      <c r="T147" s="123"/>
      <c r="U147" s="123"/>
      <c r="V147" s="127"/>
      <c r="W147" s="128"/>
      <c r="X147" s="24"/>
      <c r="Y147" s="129" t="s">
        <v>39</v>
      </c>
      <c r="Z147" s="76"/>
      <c r="AA147" s="162" t="s">
        <v>470</v>
      </c>
      <c r="AB147" s="189"/>
      <c r="AC147" s="189"/>
      <c r="AD147" s="189"/>
      <c r="AE147" s="189"/>
    </row>
    <row r="148" spans="1:31" s="130" customFormat="1" ht="15" customHeight="1">
      <c r="A148" s="137" t="s">
        <v>468</v>
      </c>
      <c r="B148" s="27" t="s">
        <v>471</v>
      </c>
      <c r="C148" s="123" t="s">
        <v>433</v>
      </c>
      <c r="D148" s="124" t="str" cm="1">
        <f t="array" ref="D148">_xlfn.TEXTJOIN(", ", TRUE(), _xlfn._xlws.FILTER(Speakers_in_Recordings!$B$2:$B$1502,Speakers_in_Recordings!$A$2:$A$1502=Rcrdngs[[#This Row],[Text]],"[no speaker selected in Speakers_in_Recordings]"))</f>
        <v>RSD_JOR_2024_Rebecca, RSD_JOR_2024_Speaker18, RSD_JOR_2024_Speaker13, RSD_JOR_2024_Speaker16</v>
      </c>
      <c r="E148" s="124" t="str" cm="1">
        <f t="array" ref="E148">_xlfn.TEXTJOIN(", ", TRUE(), _xlfn._xlws.FILTER(Sbcts_Rcrdngs[Subject],Sbcts_Rcrdngs[Recording]=Rcrdngs[[#This Row],[Text]],"[no subject selected in Subjects_in_Recordings]"))</f>
        <v>Tribal History</v>
      </c>
      <c r="F148" s="125">
        <v>45418</v>
      </c>
      <c r="G148" s="134" t="s">
        <v>472</v>
      </c>
      <c r="H148" s="49" t="s">
        <v>31</v>
      </c>
      <c r="I148" s="49" t="s">
        <v>32</v>
      </c>
      <c r="J148" s="153" t="s">
        <v>32</v>
      </c>
      <c r="K148" s="153" t="s">
        <v>33</v>
      </c>
      <c r="L148" s="126" t="s">
        <v>34</v>
      </c>
      <c r="M148" s="123" t="s">
        <v>36</v>
      </c>
      <c r="N148" s="123" t="s">
        <v>36</v>
      </c>
      <c r="O148" s="123"/>
      <c r="P148" s="123"/>
      <c r="Q148" s="123"/>
      <c r="R148" s="123"/>
      <c r="S148" s="123"/>
      <c r="T148" s="123"/>
      <c r="U148" s="123"/>
      <c r="V148" s="127"/>
      <c r="W148" s="128"/>
      <c r="X148" s="24"/>
      <c r="Y148" s="129" t="s">
        <v>39</v>
      </c>
      <c r="Z148" s="76"/>
      <c r="AA148" s="162" t="s">
        <v>473</v>
      </c>
      <c r="AB148" s="189"/>
      <c r="AC148" s="189"/>
      <c r="AD148" s="189"/>
      <c r="AE148" s="189"/>
    </row>
    <row r="149" spans="1:31" s="130" customFormat="1" ht="15" customHeight="1">
      <c r="A149" s="137" t="s">
        <v>471</v>
      </c>
      <c r="B149" s="27" t="s">
        <v>474</v>
      </c>
      <c r="C149" s="123" t="s">
        <v>433</v>
      </c>
      <c r="D149" s="124" t="str" cm="1">
        <f t="array" ref="D149">_xlfn.TEXTJOIN(", ", TRUE(), _xlfn._xlws.FILTER(Speakers_in_Recordings!$B$2:$B$1502,Speakers_in_Recordings!$A$2:$A$1502=Rcrdngs[[#This Row],[Text]],"[no speaker selected in Speakers_in_Recordings]"))</f>
        <v>RSD_JOR_2024_Rebecca, RSD_JOR_2024_Speaker13</v>
      </c>
      <c r="E149" s="124" t="str" cm="1">
        <f t="array" ref="E149">_xlfn.TEXTJOIN(", ", TRUE(), _xlfn._xlws.FILTER(Sbcts_Rcrdngs[Subject],Sbcts_Rcrdngs[Recording]=Rcrdngs[[#This Row],[Text]],"[no subject selected in Subjects_in_Recordings]"))</f>
        <v>Women's work</v>
      </c>
      <c r="F149" s="125">
        <v>45418</v>
      </c>
      <c r="G149" s="134" t="s">
        <v>475</v>
      </c>
      <c r="H149" s="49" t="s">
        <v>31</v>
      </c>
      <c r="I149" s="49" t="s">
        <v>32</v>
      </c>
      <c r="J149" s="153" t="s">
        <v>32</v>
      </c>
      <c r="K149" s="153" t="s">
        <v>33</v>
      </c>
      <c r="L149" s="126" t="s">
        <v>34</v>
      </c>
      <c r="M149" s="123" t="s">
        <v>36</v>
      </c>
      <c r="N149" s="123" t="s">
        <v>36</v>
      </c>
      <c r="O149" s="123"/>
      <c r="P149" s="123"/>
      <c r="Q149" s="123"/>
      <c r="R149" s="123"/>
      <c r="S149" s="123"/>
      <c r="T149" s="123"/>
      <c r="U149" s="123"/>
      <c r="V149" s="127"/>
      <c r="W149" s="128"/>
      <c r="X149" s="24"/>
      <c r="Y149" s="129" t="s">
        <v>39</v>
      </c>
      <c r="Z149" s="76"/>
      <c r="AA149" s="162" t="s">
        <v>476</v>
      </c>
      <c r="AB149" s="189"/>
      <c r="AC149" s="189"/>
      <c r="AD149" s="189"/>
      <c r="AE149" s="189"/>
    </row>
    <row r="150" spans="1:31" s="130" customFormat="1" ht="15" customHeight="1">
      <c r="A150" s="137" t="s">
        <v>474</v>
      </c>
      <c r="B150" s="27" t="s">
        <v>477</v>
      </c>
      <c r="C150" s="123" t="s">
        <v>433</v>
      </c>
      <c r="D150" s="124" t="str" cm="1">
        <f t="array" ref="D150">_xlfn.TEXTJOIN(", ", TRUE(), _xlfn._xlws.FILTER(Speakers_in_Recordings!$B$2:$B$1502,Speakers_in_Recordings!$A$2:$A$1502=Rcrdngs[[#This Row],[Text]],"[no speaker selected in Speakers_in_Recordings]"))</f>
        <v>RSD_JOR_2024_Speaker13, RSD_JOR_2024_Speaker16, RSD_JOR_2024_Rebecca</v>
      </c>
      <c r="E150" s="124" t="str" cm="1">
        <f t="array" ref="E150">_xlfn.TEXTJOIN(", ", TRUE(), _xlfn._xlws.FILTER(Sbcts_Rcrdngs[Subject],Sbcts_Rcrdngs[Recording]=Rcrdngs[[#This Row],[Text]],"[no subject selected in Subjects_in_Recordings]"))</f>
        <v>Houses</v>
      </c>
      <c r="F150" s="125">
        <v>45418</v>
      </c>
      <c r="G150" s="134" t="s">
        <v>478</v>
      </c>
      <c r="H150" s="49" t="s">
        <v>31</v>
      </c>
      <c r="I150" s="49" t="s">
        <v>32</v>
      </c>
      <c r="J150" s="153" t="s">
        <v>32</v>
      </c>
      <c r="K150" s="153" t="s">
        <v>33</v>
      </c>
      <c r="L150" s="126" t="s">
        <v>34</v>
      </c>
      <c r="M150" s="123" t="s">
        <v>36</v>
      </c>
      <c r="N150" s="123" t="s">
        <v>36</v>
      </c>
      <c r="O150" s="123"/>
      <c r="P150" s="123"/>
      <c r="Q150" s="123"/>
      <c r="R150" s="123"/>
      <c r="S150" s="123"/>
      <c r="T150" s="123"/>
      <c r="U150" s="123"/>
      <c r="V150" s="127"/>
      <c r="W150" s="128"/>
      <c r="X150" s="24"/>
      <c r="Y150" s="129" t="s">
        <v>39</v>
      </c>
      <c r="Z150" s="76"/>
      <c r="AA150" s="162" t="s">
        <v>479</v>
      </c>
      <c r="AB150" s="189"/>
      <c r="AC150" s="189"/>
      <c r="AD150" s="189"/>
      <c r="AE150" s="189"/>
    </row>
    <row r="151" spans="1:31" s="130" customFormat="1" ht="15" customHeight="1">
      <c r="A151" s="137" t="s">
        <v>477</v>
      </c>
      <c r="B151" s="27" t="s">
        <v>480</v>
      </c>
      <c r="C151" s="123" t="s">
        <v>433</v>
      </c>
      <c r="D151" s="124" t="str" cm="1">
        <f t="array" ref="D151">_xlfn.TEXTJOIN(", ", TRUE(), _xlfn._xlws.FILTER(Speakers_in_Recordings!$B$2:$B$1502,Speakers_in_Recordings!$A$2:$A$1502=Rcrdngs[[#This Row],[Text]],"[no speaker selected in Speakers_in_Recordings]"))</f>
        <v>RSD_JOR_2024_Rebecca, RSD_JOR_2024_Speaker13, RSD_JOR_2024_Speaker18, RSD_JOR_2024_SXR_3, RSD_JOR_2024_Speaker15</v>
      </c>
      <c r="E151" s="124" t="str" cm="1">
        <f t="array" ref="E151">_xlfn.TEXTJOIN(", ", TRUE(), _xlfn._xlws.FILTER(Sbcts_Rcrdngs[Subject],Sbcts_Rcrdngs[Recording]=Rcrdngs[[#This Row],[Text]],"[no subject selected in Subjects_in_Recordings]"))</f>
        <v>Tribal Traditions</v>
      </c>
      <c r="F151" s="125">
        <v>45418</v>
      </c>
      <c r="G151" s="134" t="s">
        <v>481</v>
      </c>
      <c r="H151" s="49" t="s">
        <v>31</v>
      </c>
      <c r="I151" s="49" t="s">
        <v>32</v>
      </c>
      <c r="J151" s="153" t="s">
        <v>32</v>
      </c>
      <c r="K151" s="153" t="s">
        <v>33</v>
      </c>
      <c r="L151" s="126" t="s">
        <v>34</v>
      </c>
      <c r="M151" s="123" t="s">
        <v>36</v>
      </c>
      <c r="N151" s="123" t="s">
        <v>36</v>
      </c>
      <c r="O151" s="123"/>
      <c r="P151" s="123"/>
      <c r="Q151" s="123"/>
      <c r="R151" s="123"/>
      <c r="S151" s="123"/>
      <c r="T151" s="123"/>
      <c r="U151" s="123"/>
      <c r="V151" s="127"/>
      <c r="W151" s="128"/>
      <c r="X151" s="24"/>
      <c r="Y151" s="129" t="s">
        <v>39</v>
      </c>
      <c r="Z151" s="76"/>
      <c r="AA151" s="162" t="s">
        <v>482</v>
      </c>
      <c r="AB151" s="189"/>
      <c r="AC151" s="189"/>
      <c r="AD151" s="189"/>
      <c r="AE151" s="189"/>
    </row>
    <row r="152" spans="1:31" s="130" customFormat="1" ht="15" customHeight="1">
      <c r="A152" s="137" t="s">
        <v>480</v>
      </c>
      <c r="B152" s="27"/>
      <c r="C152" s="123" t="s">
        <v>433</v>
      </c>
      <c r="D152" s="124" t="str" cm="1">
        <f t="array" ref="D152">_xlfn.TEXTJOIN(", ", TRUE(), _xlfn._xlws.FILTER(Speakers_in_Recordings!$B$2:$B$1502,Speakers_in_Recordings!$A$2:$A$1502=Rcrdngs[[#This Row],[Text]],"[no speaker selected in Speakers_in_Recordings]"))</f>
        <v>RSD_JOR_2024_Rebecca, RSD_JOR_2024_Speaker15, RSD_JOR_2024_Speaker18, RSD_JOR_2024_Speaker13, RSD_JOR_2024_Speaker16, RSD_JOR_2024_SXR_3</v>
      </c>
      <c r="E152" s="124" t="str" cm="1">
        <f t="array" ref="E152">_xlfn.TEXTJOIN(", ", TRUE(), _xlfn._xlws.FILTER(Sbcts_Rcrdngs[Subject],Sbcts_Rcrdngs[Recording]=Rcrdngs[[#This Row],[Text]],"[no subject selected in Subjects_in_Recordings]"))</f>
        <v>Tribal Traditions</v>
      </c>
      <c r="F152" s="125">
        <v>45418</v>
      </c>
      <c r="G152" s="134" t="s">
        <v>483</v>
      </c>
      <c r="H152" s="49" t="s">
        <v>31</v>
      </c>
      <c r="I152" s="49" t="s">
        <v>32</v>
      </c>
      <c r="J152" s="153" t="s">
        <v>32</v>
      </c>
      <c r="K152" s="153" t="s">
        <v>33</v>
      </c>
      <c r="L152" s="126" t="s">
        <v>34</v>
      </c>
      <c r="M152" s="123" t="s">
        <v>36</v>
      </c>
      <c r="N152" s="123" t="s">
        <v>36</v>
      </c>
      <c r="O152" s="123"/>
      <c r="P152" s="123"/>
      <c r="Q152" s="123"/>
      <c r="R152" s="123"/>
      <c r="S152" s="123"/>
      <c r="T152" s="123"/>
      <c r="U152" s="123"/>
      <c r="V152" s="127"/>
      <c r="W152" s="128"/>
      <c r="X152" s="24"/>
      <c r="Y152" s="129" t="s">
        <v>39</v>
      </c>
      <c r="Z152" s="76"/>
      <c r="AA152" s="162" t="s">
        <v>484</v>
      </c>
      <c r="AB152" s="189"/>
      <c r="AC152" s="189"/>
      <c r="AD152" s="189"/>
      <c r="AE152" s="189"/>
    </row>
    <row r="153" spans="1:31" s="130" customFormat="1" ht="15" customHeight="1">
      <c r="A153" s="137" t="s">
        <v>485</v>
      </c>
      <c r="B153" s="27"/>
      <c r="C153" s="123" t="s">
        <v>433</v>
      </c>
      <c r="D153" s="124" t="str" cm="1">
        <f t="array" ref="D153">_xlfn.TEXTJOIN(", ", TRUE(), _xlfn._xlws.FILTER(Speakers_in_Recordings!$B$2:$B$1502,Speakers_in_Recordings!$A$2:$A$1502=Rcrdngs[[#This Row],[Text]],"[no speaker selected in Speakers_in_Recordings]"))</f>
        <v>RSD_JOR_2024_Speaker5, RSD_JOR_2024_Speaker11, RSD_JOR_2024_Speaker8, RSD_JOR_2024_Rebecca, RSD_JOR_2024_SXR_1</v>
      </c>
      <c r="E153" s="124" t="str" cm="1">
        <f t="array" ref="E153">_xlfn.TEXTJOIN(", ", TRUE(), _xlfn._xlws.FILTER(Sbcts_Rcrdngs[Subject],Sbcts_Rcrdngs[Recording]=Rcrdngs[[#This Row],[Text]],"[no subject selected in Subjects_in_Recordings]"))</f>
        <v>Questionnaire</v>
      </c>
      <c r="F153" s="125">
        <v>45411</v>
      </c>
      <c r="G153" s="134" t="s">
        <v>486</v>
      </c>
      <c r="H153" s="49" t="s">
        <v>31</v>
      </c>
      <c r="I153" s="49" t="s">
        <v>46</v>
      </c>
      <c r="J153" s="153" t="s">
        <v>32</v>
      </c>
      <c r="K153" s="153" t="s">
        <v>33</v>
      </c>
      <c r="L153" s="126" t="s">
        <v>34</v>
      </c>
      <c r="M153" s="123" t="s">
        <v>36</v>
      </c>
      <c r="N153" s="123" t="s">
        <v>36</v>
      </c>
      <c r="O153" s="123"/>
      <c r="P153" s="123"/>
      <c r="Q153" s="123"/>
      <c r="R153" s="123"/>
      <c r="S153" s="123"/>
      <c r="T153" s="123"/>
      <c r="U153" s="123" t="s">
        <v>442</v>
      </c>
      <c r="V153" s="127"/>
      <c r="W153" s="128"/>
      <c r="X153" s="24"/>
      <c r="Y153" s="129" t="s">
        <v>173</v>
      </c>
      <c r="Z153" s="76"/>
      <c r="AA153" s="162" t="s">
        <v>487</v>
      </c>
      <c r="AB153" s="189"/>
      <c r="AC153" s="189"/>
      <c r="AD153" s="189"/>
      <c r="AE153" s="189"/>
    </row>
    <row r="154" spans="1:31" s="130" customFormat="1" ht="15" customHeight="1">
      <c r="A154" s="137" t="s">
        <v>488</v>
      </c>
      <c r="B154" s="27"/>
      <c r="C154" s="123" t="s">
        <v>433</v>
      </c>
      <c r="D154" s="124" t="str" cm="1">
        <f t="array" ref="D154">_xlfn.TEXTJOIN(", ", TRUE(), _xlfn._xlws.FILTER(Speakers_in_Recordings!$B$2:$B$1502,Speakers_in_Recordings!$A$2:$A$1502=Rcrdngs[[#This Row],[Text]],"[no speaker selected in Speakers_in_Recordings]"))</f>
        <v>RSD_JOR_2024_SXR_1, RSD_JOR_2024_Rebecca, RSD_JOR_2024_Speaker2, RSD_JOR_2024_Speaker3, RSD_JOR_2024_Speaker4</v>
      </c>
      <c r="E154" s="124" t="str" cm="1">
        <f t="array" ref="E154">_xlfn.TEXTJOIN(", ", TRUE(), _xlfn._xlws.FILTER(Sbcts_Rcrdngs[Subject],Sbcts_Rcrdngs[Recording]=Rcrdngs[[#This Row],[Text]],"[no subject selected in Subjects_in_Recordings]"))</f>
        <v>Questionnaire</v>
      </c>
      <c r="F154" s="125">
        <v>45408</v>
      </c>
      <c r="G154" s="134" t="s">
        <v>489</v>
      </c>
      <c r="H154" s="49" t="s">
        <v>31</v>
      </c>
      <c r="I154" s="49" t="s">
        <v>46</v>
      </c>
      <c r="J154" s="153" t="s">
        <v>32</v>
      </c>
      <c r="K154" s="153" t="s">
        <v>33</v>
      </c>
      <c r="L154" s="126" t="s">
        <v>34</v>
      </c>
      <c r="M154" s="123" t="s">
        <v>36</v>
      </c>
      <c r="N154" s="123" t="s">
        <v>36</v>
      </c>
      <c r="O154" s="123"/>
      <c r="P154" s="123"/>
      <c r="Q154" s="123"/>
      <c r="R154" s="123"/>
      <c r="S154" s="123"/>
      <c r="T154" s="123"/>
      <c r="U154" s="123" t="s">
        <v>435</v>
      </c>
      <c r="V154" s="127"/>
      <c r="W154" s="128"/>
      <c r="X154" s="24"/>
      <c r="Y154" s="129" t="s">
        <v>173</v>
      </c>
      <c r="Z154" s="76"/>
      <c r="AA154" s="162" t="s">
        <v>490</v>
      </c>
      <c r="AB154" s="189"/>
      <c r="AC154" s="189"/>
      <c r="AD154" s="189"/>
      <c r="AE154" s="189"/>
    </row>
    <row r="155" spans="1:31" s="130" customFormat="1" ht="15" customHeight="1">
      <c r="A155" s="137" t="s">
        <v>491</v>
      </c>
      <c r="B155" s="27" t="s">
        <v>492</v>
      </c>
      <c r="C155" s="123" t="s">
        <v>433</v>
      </c>
      <c r="D155" s="124" t="str" cm="1">
        <f t="array" ref="D155">_xlfn.TEXTJOIN(", ", TRUE(), _xlfn._xlws.FILTER(Speakers_in_Recordings!$B$2:$B$1502,Speakers_in_Recordings!$A$2:$A$1502=Rcrdngs[[#This Row],[Text]],"[no speaker selected in Speakers_in_Recordings]"))</f>
        <v>RSD_JOR_2024_Rebecca, RSD_JOR_2024_Speaker15, RSD_JOR_2024_Speaker16, RSD_JOR_2024_Speaker13, RSD_JOR_2024_Speaker23</v>
      </c>
      <c r="E155" s="124" t="str" cm="1">
        <f t="array" ref="E155">_xlfn.TEXTJOIN(", ", TRUE(), _xlfn._xlws.FILTER(Sbcts_Rcrdngs[Subject],Sbcts_Rcrdngs[Recording]=Rcrdngs[[#This Row],[Text]],"[no subject selected in Subjects_in_Recordings]"))</f>
        <v>Questionnaire</v>
      </c>
      <c r="F155" s="125">
        <v>45424</v>
      </c>
      <c r="G155" s="134" t="s">
        <v>493</v>
      </c>
      <c r="H155" s="49" t="s">
        <v>31</v>
      </c>
      <c r="I155" s="49" t="s">
        <v>32</v>
      </c>
      <c r="J155" s="153" t="s">
        <v>32</v>
      </c>
      <c r="K155" s="153" t="s">
        <v>33</v>
      </c>
      <c r="L155" s="126" t="s">
        <v>34</v>
      </c>
      <c r="M155" s="123" t="s">
        <v>36</v>
      </c>
      <c r="N155" s="123" t="s">
        <v>36</v>
      </c>
      <c r="O155" s="123"/>
      <c r="P155" s="123"/>
      <c r="Q155" s="123"/>
      <c r="R155" s="123"/>
      <c r="S155" s="123"/>
      <c r="T155" s="123"/>
      <c r="U155" s="123"/>
      <c r="V155" s="127"/>
      <c r="W155" s="128"/>
      <c r="X155" s="24"/>
      <c r="Y155" s="129" t="s">
        <v>173</v>
      </c>
      <c r="Z155" s="76"/>
      <c r="AA155" s="162" t="s">
        <v>494</v>
      </c>
      <c r="AB155" s="189"/>
      <c r="AC155" s="189"/>
      <c r="AD155" s="189"/>
      <c r="AE155" s="189"/>
    </row>
    <row r="156" spans="1:31" s="130" customFormat="1" ht="15" customHeight="1">
      <c r="A156" s="137" t="s">
        <v>492</v>
      </c>
      <c r="B156" s="27"/>
      <c r="C156" s="123" t="s">
        <v>433</v>
      </c>
      <c r="D156" s="124" t="str" cm="1">
        <f t="array" ref="D156">_xlfn.TEXTJOIN(", ", TRUE(), _xlfn._xlws.FILTER(Speakers_in_Recordings!$B$2:$B$1502,Speakers_in_Recordings!$A$2:$A$1502=Rcrdngs[[#This Row],[Text]],"[no speaker selected in Speakers_in_Recordings]"))</f>
        <v>RSD_JOR_2024_Rebecca, RSD_JOR_2024_Speaker16, RSD_JOR_2024_Speaker13, RSD_JOR_2024_Speaker23</v>
      </c>
      <c r="E156" s="124" t="str" cm="1">
        <f t="array" ref="E156">_xlfn.TEXTJOIN(", ", TRUE(), _xlfn._xlws.FILTER(Sbcts_Rcrdngs[Subject],Sbcts_Rcrdngs[Recording]=Rcrdngs[[#This Row],[Text]],"[no subject selected in Subjects_in_Recordings]"))</f>
        <v>Questionnaire</v>
      </c>
      <c r="F156" s="125">
        <v>45424</v>
      </c>
      <c r="G156" s="134" t="s">
        <v>495</v>
      </c>
      <c r="H156" s="49" t="s">
        <v>31</v>
      </c>
      <c r="I156" s="49" t="s">
        <v>32</v>
      </c>
      <c r="J156" s="153" t="s">
        <v>32</v>
      </c>
      <c r="K156" s="153" t="s">
        <v>33</v>
      </c>
      <c r="L156" s="126" t="s">
        <v>34</v>
      </c>
      <c r="M156" s="123" t="s">
        <v>36</v>
      </c>
      <c r="N156" s="123" t="s">
        <v>36</v>
      </c>
      <c r="O156" s="123"/>
      <c r="P156" s="123"/>
      <c r="Q156" s="123"/>
      <c r="R156" s="123"/>
      <c r="S156" s="123"/>
      <c r="T156" s="123"/>
      <c r="U156" s="123"/>
      <c r="V156" s="127"/>
      <c r="W156" s="128"/>
      <c r="X156" s="24"/>
      <c r="Y156" s="129" t="s">
        <v>173</v>
      </c>
      <c r="Z156" s="76"/>
      <c r="AA156" s="162" t="s">
        <v>496</v>
      </c>
      <c r="AB156" s="189"/>
      <c r="AC156" s="189"/>
      <c r="AD156" s="189"/>
      <c r="AE156" s="189"/>
    </row>
    <row r="157" spans="1:31" s="130" customFormat="1" ht="15" customHeight="1">
      <c r="A157" s="137" t="s">
        <v>497</v>
      </c>
      <c r="B157" s="27" t="s">
        <v>498</v>
      </c>
      <c r="C157" s="123" t="s">
        <v>433</v>
      </c>
      <c r="D157" s="124" t="str" cm="1">
        <f t="array" ref="D157">_xlfn.TEXTJOIN(", ", TRUE(), _xlfn._xlws.FILTER(Speakers_in_Recordings!$B$2:$B$1502,Speakers_in_Recordings!$A$2:$A$1502=Rcrdngs[[#This Row],[Text]],"[no speaker selected in Speakers_in_Recordings]"))</f>
        <v>RSD_JOR_2024_Rebecca, RSD_JOR_2024_Speaker24, RSD_JOR_2024_Speaker25, RSD_JOR_2024_Speaker26, RSD_JOR_2024_YZD</v>
      </c>
      <c r="E157" s="124" t="str" cm="1">
        <f t="array" ref="E157">_xlfn.TEXTJOIN(", ", TRUE(), _xlfn._xlws.FILTER(Sbcts_Rcrdngs[Subject],Sbcts_Rcrdngs[Recording]=Rcrdngs[[#This Row],[Text]],"[no subject selected in Subjects_in_Recordings]"))</f>
        <v>Coffee</v>
      </c>
      <c r="F157" s="125">
        <v>45425</v>
      </c>
      <c r="G157" s="134" t="s">
        <v>499</v>
      </c>
      <c r="H157" s="49" t="s">
        <v>31</v>
      </c>
      <c r="I157" s="49" t="s">
        <v>32</v>
      </c>
      <c r="J157" s="153" t="s">
        <v>32</v>
      </c>
      <c r="K157" s="153" t="s">
        <v>33</v>
      </c>
      <c r="L157" s="126" t="s">
        <v>34</v>
      </c>
      <c r="M157" s="123" t="s">
        <v>36</v>
      </c>
      <c r="N157" s="123" t="s">
        <v>36</v>
      </c>
      <c r="O157" s="123"/>
      <c r="P157" s="123"/>
      <c r="Q157" s="123"/>
      <c r="R157" s="123"/>
      <c r="S157" s="123"/>
      <c r="T157" s="123"/>
      <c r="U157" s="123"/>
      <c r="V157" s="127"/>
      <c r="W157" s="128"/>
      <c r="X157" s="24"/>
      <c r="Y157" s="129" t="s">
        <v>39</v>
      </c>
      <c r="Z157" s="76"/>
      <c r="AA157" s="162" t="s">
        <v>500</v>
      </c>
      <c r="AB157" s="189"/>
      <c r="AC157" s="189"/>
      <c r="AD157" s="189"/>
      <c r="AE157" s="189"/>
    </row>
    <row r="158" spans="1:31" s="130" customFormat="1" ht="15" customHeight="1">
      <c r="A158" s="137" t="s">
        <v>498</v>
      </c>
      <c r="B158" s="27" t="s">
        <v>501</v>
      </c>
      <c r="C158" s="123" t="s">
        <v>433</v>
      </c>
      <c r="D158" s="124" t="str" cm="1">
        <f t="array" ref="D158">_xlfn.TEXTJOIN(", ", TRUE(), _xlfn._xlws.FILTER(Speakers_in_Recordings!$B$2:$B$1502,Speakers_in_Recordings!$A$2:$A$1502=Rcrdngs[[#This Row],[Text]],"[no speaker selected in Speakers_in_Recordings]"))</f>
        <v>RSD_JOR_2024_Rebecca, RSD_JOR_2024_Speaker24, RSD_JOR_2024_Speaker25</v>
      </c>
      <c r="E158" s="124" t="str" cm="1">
        <f t="array" ref="E158">_xlfn.TEXTJOIN(", ", TRUE(), _xlfn._xlws.FILTER(Sbcts_Rcrdngs[Subject],Sbcts_Rcrdngs[Recording]=Rcrdngs[[#This Row],[Text]],"[no subject selected in Subjects_in_Recordings]"))</f>
        <v>Tribal Traditions</v>
      </c>
      <c r="F158" s="125">
        <v>45425</v>
      </c>
      <c r="G158" s="134" t="s">
        <v>502</v>
      </c>
      <c r="H158" s="49" t="s">
        <v>31</v>
      </c>
      <c r="I158" s="49" t="s">
        <v>32</v>
      </c>
      <c r="J158" s="153" t="s">
        <v>32</v>
      </c>
      <c r="K158" s="153" t="s">
        <v>33</v>
      </c>
      <c r="L158" s="126" t="s">
        <v>34</v>
      </c>
      <c r="M158" s="123" t="s">
        <v>36</v>
      </c>
      <c r="N158" s="123" t="s">
        <v>36</v>
      </c>
      <c r="O158" s="123"/>
      <c r="P158" s="123"/>
      <c r="Q158" s="123"/>
      <c r="R158" s="123"/>
      <c r="S158" s="123"/>
      <c r="T158" s="123"/>
      <c r="U158" s="123"/>
      <c r="V158" s="127"/>
      <c r="W158" s="128"/>
      <c r="X158" s="24"/>
      <c r="Y158" s="129" t="s">
        <v>39</v>
      </c>
      <c r="Z158" s="76"/>
      <c r="AA158" s="162" t="s">
        <v>503</v>
      </c>
      <c r="AB158" s="189"/>
      <c r="AC158" s="189"/>
      <c r="AD158" s="189"/>
      <c r="AE158" s="189"/>
    </row>
    <row r="159" spans="1:31" s="132" customFormat="1" ht="15" customHeight="1">
      <c r="A159" s="122" t="s">
        <v>501</v>
      </c>
      <c r="B159" s="27" t="s">
        <v>504</v>
      </c>
      <c r="C159" s="123" t="s">
        <v>433</v>
      </c>
      <c r="D159" s="124" t="str" cm="1">
        <f t="array" ref="D159">_xlfn.TEXTJOIN(", ", TRUE(), _xlfn._xlws.FILTER(Speakers_in_Recordings!$B$2:$B$1502,Speakers_in_Recordings!$A$2:$A$1502=Rcrdngs[[#This Row],[Text]],"[no speaker selected in Speakers_in_Recordings]"))</f>
        <v>RSD_JOR_2024_Rebecca, RSD_JOR_2024_Speaker24, RSD_JOR_2024_Speaker25, RSD_JOR_2024_Speaker26, RSD_JOR_2024_YZD</v>
      </c>
      <c r="E159" s="124" t="str" cm="1">
        <f t="array" ref="E159">_xlfn.TEXTJOIN(", ", TRUE(), _xlfn._xlws.FILTER(Sbcts_Rcrdngs[Subject],Sbcts_Rcrdngs[Recording]=Rcrdngs[[#This Row],[Text]],"[no subject selected in Subjects_in_Recordings]"))</f>
        <v>Tribal Traditions</v>
      </c>
      <c r="F159" s="125">
        <v>45425</v>
      </c>
      <c r="G159" s="131" t="s">
        <v>505</v>
      </c>
      <c r="H159" s="49" t="s">
        <v>31</v>
      </c>
      <c r="I159" s="49" t="s">
        <v>32</v>
      </c>
      <c r="J159" s="153" t="s">
        <v>32</v>
      </c>
      <c r="K159" s="153" t="s">
        <v>33</v>
      </c>
      <c r="L159" s="126" t="s">
        <v>34</v>
      </c>
      <c r="M159" s="123" t="s">
        <v>36</v>
      </c>
      <c r="N159" s="123" t="s">
        <v>36</v>
      </c>
      <c r="O159" s="123"/>
      <c r="P159" s="123"/>
      <c r="Q159" s="123"/>
      <c r="R159" s="123"/>
      <c r="S159" s="123"/>
      <c r="T159" s="123"/>
      <c r="U159" s="123"/>
      <c r="V159" s="127"/>
      <c r="W159" s="128"/>
      <c r="X159" s="24"/>
      <c r="Y159" s="129" t="s">
        <v>39</v>
      </c>
      <c r="Z159" s="76"/>
      <c r="AA159" s="162" t="s">
        <v>506</v>
      </c>
    </row>
    <row r="160" spans="1:31" s="132" customFormat="1" ht="15" customHeight="1">
      <c r="A160" s="137" t="s">
        <v>507</v>
      </c>
      <c r="B160" s="27" t="s">
        <v>508</v>
      </c>
      <c r="C160" s="123" t="s">
        <v>433</v>
      </c>
      <c r="D160" s="124" t="str" cm="1">
        <f t="array" ref="D160">_xlfn.TEXTJOIN(", ", TRUE(), _xlfn._xlws.FILTER(Speakers_in_Recordings!$B$2:$B$1502,Speakers_in_Recordings!$A$2:$A$1502=Rcrdngs[[#This Row],[Text]],"[no speaker selected in Speakers_in_Recordings]"))</f>
        <v>RSD_JOR_2024_YZD, RSD_JOR_2024_Speaker25</v>
      </c>
      <c r="E160" s="17" t="str" cm="1">
        <f t="array" ref="E160">_xlfn.TEXTJOIN(", ", TRUE(), _xlfn._xlws.FILTER(Sbcts_Rcrdngs[Subject],Sbcts_Rcrdngs[Recording]=Rcrdngs[[#This Row],[Text]],"[no subject selected in Subjects_in_Recordings]"))</f>
        <v>Tribal Traditions</v>
      </c>
      <c r="F160" s="125">
        <v>45425</v>
      </c>
      <c r="G160" s="134" t="s">
        <v>509</v>
      </c>
      <c r="H160" s="49" t="s">
        <v>31</v>
      </c>
      <c r="I160" s="49" t="s">
        <v>32</v>
      </c>
      <c r="J160" s="153" t="s">
        <v>32</v>
      </c>
      <c r="K160" s="153" t="s">
        <v>33</v>
      </c>
      <c r="L160" s="126" t="s">
        <v>34</v>
      </c>
      <c r="M160" s="123" t="s">
        <v>36</v>
      </c>
      <c r="N160" s="123" t="s">
        <v>36</v>
      </c>
      <c r="O160" s="21"/>
      <c r="P160" s="21"/>
      <c r="Q160" s="21"/>
      <c r="R160" s="21"/>
      <c r="S160" s="21"/>
      <c r="T160" s="21"/>
      <c r="U160" s="20"/>
      <c r="V160" s="22"/>
      <c r="W160" s="23"/>
      <c r="X160" s="24"/>
      <c r="Y160" s="76" t="s">
        <v>39</v>
      </c>
      <c r="Z160" s="76"/>
      <c r="AA160" s="162" t="s">
        <v>510</v>
      </c>
    </row>
    <row r="161" spans="1:27" s="132" customFormat="1" ht="15" customHeight="1">
      <c r="A161" s="137" t="s">
        <v>508</v>
      </c>
      <c r="B161" s="27"/>
      <c r="C161" s="123" t="s">
        <v>433</v>
      </c>
      <c r="D161" s="124" t="str" cm="1">
        <f t="array" ref="D161">_xlfn.TEXTJOIN(", ", TRUE(), _xlfn._xlws.FILTER(Speakers_in_Recordings!$B$2:$B$1502,Speakers_in_Recordings!$A$2:$A$1502=Rcrdngs[[#This Row],[Text]],"[no speaker selected in Speakers_in_Recordings]"))</f>
        <v>RSD_JOR_2024_Speaker25, RSD_JOR_2024_Speaker24, RSD_JOR_2024_Rebecca</v>
      </c>
      <c r="E161" s="17" t="str" cm="1">
        <f t="array" ref="E161">_xlfn.TEXTJOIN(", ", TRUE(), _xlfn._xlws.FILTER(Sbcts_Rcrdngs[Subject],Sbcts_Rcrdngs[Recording]=Rcrdngs[[#This Row],[Text]],"[no subject selected in Subjects_in_Recordings]"))</f>
        <v>Tribal History</v>
      </c>
      <c r="F161" s="125">
        <v>45425</v>
      </c>
      <c r="G161" s="134" t="s">
        <v>511</v>
      </c>
      <c r="H161" s="49" t="s">
        <v>31</v>
      </c>
      <c r="I161" s="49" t="s">
        <v>32</v>
      </c>
      <c r="J161" s="153" t="s">
        <v>32</v>
      </c>
      <c r="K161" s="153" t="s">
        <v>33</v>
      </c>
      <c r="L161" s="126" t="s">
        <v>34</v>
      </c>
      <c r="M161" s="123" t="s">
        <v>36</v>
      </c>
      <c r="N161" s="123" t="s">
        <v>36</v>
      </c>
      <c r="O161" s="21"/>
      <c r="P161" s="21"/>
      <c r="Q161" s="21"/>
      <c r="R161" s="21"/>
      <c r="S161" s="21"/>
      <c r="T161" s="21"/>
      <c r="U161" s="20"/>
      <c r="V161" s="22"/>
      <c r="W161" s="23"/>
      <c r="X161" s="24"/>
      <c r="Y161" s="76" t="s">
        <v>39</v>
      </c>
      <c r="Z161" s="76"/>
      <c r="AA161" s="162" t="s">
        <v>512</v>
      </c>
    </row>
    <row r="162" spans="1:27" s="132" customFormat="1" ht="15" customHeight="1">
      <c r="A162" s="137" t="s">
        <v>513</v>
      </c>
      <c r="B162" s="27"/>
      <c r="C162" s="123" t="s">
        <v>433</v>
      </c>
      <c r="D162" s="124" t="str" cm="1">
        <f t="array" ref="D162">_xlfn.TEXTJOIN(", ", TRUE(), _xlfn._xlws.FILTER(Speakers_in_Recordings!$B$2:$B$1502,Speakers_in_Recordings!$A$2:$A$1502=Rcrdngs[[#This Row],[Text]],"[no speaker selected in Speakers_in_Recordings]"))</f>
        <v>RSD_JOR_2024_Rebecca, RSD_JOR_2024_Speaker25, RSD_JOR_2024_Speaker27, RSD_JOR_2024_YZD</v>
      </c>
      <c r="E162" s="17" t="str" cm="1">
        <f t="array" ref="E162">_xlfn.TEXTJOIN(", ", TRUE(), _xlfn._xlws.FILTER(Sbcts_Rcrdngs[Subject],Sbcts_Rcrdngs[Recording]=Rcrdngs[[#This Row],[Text]],"[no subject selected in Subjects_in_Recordings]"))</f>
        <v>Tribal Traditions</v>
      </c>
      <c r="F162" s="125">
        <v>45425</v>
      </c>
      <c r="G162" s="134" t="s">
        <v>514</v>
      </c>
      <c r="H162" s="49" t="s">
        <v>31</v>
      </c>
      <c r="I162" s="49" t="s">
        <v>32</v>
      </c>
      <c r="J162" s="153" t="s">
        <v>32</v>
      </c>
      <c r="K162" s="153" t="s">
        <v>33</v>
      </c>
      <c r="L162" s="126" t="s">
        <v>34</v>
      </c>
      <c r="M162" s="123" t="s">
        <v>36</v>
      </c>
      <c r="N162" s="123" t="s">
        <v>36</v>
      </c>
      <c r="O162" s="21"/>
      <c r="P162" s="21"/>
      <c r="Q162" s="21"/>
      <c r="R162" s="21"/>
      <c r="S162" s="21"/>
      <c r="T162" s="21"/>
      <c r="U162" s="20"/>
      <c r="V162" s="22"/>
      <c r="W162" s="23"/>
      <c r="X162" s="24"/>
      <c r="Y162" s="76" t="s">
        <v>39</v>
      </c>
      <c r="Z162" s="76"/>
      <c r="AA162" s="162" t="s">
        <v>515</v>
      </c>
    </row>
    <row r="163" spans="1:27" ht="15" customHeight="1">
      <c r="A163" s="137" t="s">
        <v>504</v>
      </c>
      <c r="B163" s="27" t="s">
        <v>507</v>
      </c>
      <c r="C163" s="123" t="s">
        <v>433</v>
      </c>
      <c r="D163" s="121" t="str" cm="1">
        <f t="array" ref="D163">_xlfn.TEXTJOIN(", ", TRUE(), _xlfn._xlws.FILTER(Speakers_in_Recordings!$B$2:$B$1502,Speakers_in_Recordings!$A$2:$A$1502=Rcrdngs[[#This Row],[Text]],"[no speaker selected in Speakers_in_Recordings]"))</f>
        <v>RSD_JOR_2024_YZD, RSD_JOR_2024_Rebecca, RSD_JOR_2024_Speaker24, RSD_JOR_2024_Speaker25, RSD_JOR_2024_Speaker26, RSD_JOR_2024_Speaker27</v>
      </c>
      <c r="E163" s="17" t="str" cm="1">
        <f t="array" ref="E163">_xlfn.TEXTJOIN(", ", TRUE(), _xlfn._xlws.FILTER(Sbcts_Rcrdngs[Subject],Sbcts_Rcrdngs[Recording]=Rcrdngs[[#This Row],[Text]],"[no subject selected in Subjects_in_Recordings]"))</f>
        <v>Tribal Traditions</v>
      </c>
      <c r="F163" s="125">
        <v>45425</v>
      </c>
      <c r="G163" s="134" t="s">
        <v>516</v>
      </c>
      <c r="H163" s="49" t="s">
        <v>31</v>
      </c>
      <c r="I163" s="49" t="s">
        <v>32</v>
      </c>
      <c r="J163" s="153" t="s">
        <v>32</v>
      </c>
      <c r="K163" s="153" t="s">
        <v>33</v>
      </c>
      <c r="L163" s="126" t="s">
        <v>34</v>
      </c>
      <c r="M163" s="123" t="s">
        <v>36</v>
      </c>
      <c r="N163" s="123" t="s">
        <v>36</v>
      </c>
      <c r="O163" s="21"/>
      <c r="P163" s="21"/>
      <c r="Q163" s="21"/>
      <c r="R163" s="21"/>
      <c r="S163" s="21"/>
      <c r="T163" s="21"/>
      <c r="U163" s="20"/>
      <c r="V163" s="22"/>
      <c r="W163" s="23"/>
      <c r="X163" s="24"/>
      <c r="Y163" s="76" t="s">
        <v>39</v>
      </c>
      <c r="Z163" s="76"/>
      <c r="AA163" s="162" t="s">
        <v>517</v>
      </c>
    </row>
    <row r="164" spans="1:27" ht="15" customHeight="1">
      <c r="A164" s="122" t="s">
        <v>518</v>
      </c>
      <c r="B164" s="27"/>
      <c r="C164" s="123" t="s">
        <v>433</v>
      </c>
      <c r="D164" s="17" t="str" cm="1">
        <f t="array" ref="D164">_xlfn.TEXTJOIN(", ", TRUE(), _xlfn._xlws.FILTER(Speakers_in_Recordings!$B$2:$B$1502,Speakers_in_Recordings!$A$2:$A$1502=Rcrdngs[[#This Row],[Text]],"[no speaker selected in Speakers_in_Recordings]"))</f>
        <v>RSD_JOR_2024_Rebecca, RSD_JOR_2024_Speaker22</v>
      </c>
      <c r="E164" s="17" t="str" cm="1">
        <f t="array" ref="E164">_xlfn.TEXTJOIN(", ", TRUE(), _xlfn._xlws.FILTER(Sbcts_Rcrdngs[Subject],Sbcts_Rcrdngs[Recording]=Rcrdngs[[#This Row],[Text]],"[no subject selected in Subjects_in_Recordings]"))</f>
        <v>Marriage, Language and identity, Tribal Traditions</v>
      </c>
      <c r="F164" s="18">
        <v>45419</v>
      </c>
      <c r="G164" s="134" t="s">
        <v>519</v>
      </c>
      <c r="H164" s="19" t="s">
        <v>31</v>
      </c>
      <c r="I164" s="19" t="s">
        <v>32</v>
      </c>
      <c r="J164" s="178" t="s">
        <v>32</v>
      </c>
      <c r="K164" s="153" t="s">
        <v>33</v>
      </c>
      <c r="L164" s="126" t="s">
        <v>34</v>
      </c>
      <c r="M164" s="123" t="s">
        <v>36</v>
      </c>
      <c r="N164" s="123" t="s">
        <v>36</v>
      </c>
      <c r="O164" s="21"/>
      <c r="P164" s="21"/>
      <c r="Q164" s="21"/>
      <c r="R164" s="21"/>
      <c r="S164" s="21"/>
      <c r="T164" s="21"/>
      <c r="U164" s="20" t="s">
        <v>520</v>
      </c>
      <c r="V164" s="22"/>
      <c r="W164" s="23"/>
      <c r="X164" s="24"/>
      <c r="Y164" s="76" t="s">
        <v>39</v>
      </c>
      <c r="Z164" s="76"/>
      <c r="AA164" s="162" t="s">
        <v>521</v>
      </c>
    </row>
    <row r="165" spans="1:27" ht="15" customHeight="1">
      <c r="A165" s="35" t="s">
        <v>522</v>
      </c>
      <c r="B165" s="27"/>
      <c r="C165" s="123" t="s">
        <v>433</v>
      </c>
      <c r="D165" s="17" t="str" cm="1">
        <f t="array" ref="D165">_xlfn.TEXTJOIN(", ", TRUE(), _xlfn._xlws.FILTER(Speakers_in_Recordings!$B$2:$B$1502,Speakers_in_Recordings!$A$2:$A$1502=Rcrdngs[[#This Row],[Text]],"[no speaker selected in Speakers_in_Recordings]"))</f>
        <v>SALMAN_JOR_2024_Speaker1, RSD_JOR_2024_Rebecca, RSD_JOR_2024_Speaker5, RSD_JOR_2024_Speaker6, RSD_JOR_2024_Speaker7, RSD_JOR_2024_Speaker8, RSD_JOR_2024_Speaker9, RSD_JOR_2024_SXR_1, RSD_JOR_2024_Speaker10</v>
      </c>
      <c r="E165" s="17" t="str" cm="1">
        <f t="array" ref="E165">_xlfn.TEXTJOIN(", ", TRUE(), _xlfn._xlws.FILTER(Sbcts_Rcrdngs[Subject],Sbcts_Rcrdngs[Recording]=Rcrdngs[[#This Row],[Text]],"[no subject selected in Subjects_in_Recordings]"))</f>
        <v>Food recipees</v>
      </c>
      <c r="F165" s="18">
        <v>45411</v>
      </c>
      <c r="G165" s="134" t="s">
        <v>523</v>
      </c>
      <c r="H165" s="19" t="s">
        <v>31</v>
      </c>
      <c r="I165" s="19" t="s">
        <v>46</v>
      </c>
      <c r="J165" s="178" t="s">
        <v>32</v>
      </c>
      <c r="K165" s="153" t="s">
        <v>33</v>
      </c>
      <c r="L165" s="61" t="s">
        <v>524</v>
      </c>
      <c r="M165" s="123" t="s">
        <v>36</v>
      </c>
      <c r="N165" s="123" t="s">
        <v>36</v>
      </c>
      <c r="O165" s="21"/>
      <c r="P165" s="21"/>
      <c r="Q165" s="21"/>
      <c r="R165" s="21"/>
      <c r="S165" s="21"/>
      <c r="T165" s="21"/>
      <c r="U165" s="20" t="s">
        <v>442</v>
      </c>
      <c r="V165" s="22"/>
      <c r="W165" s="23"/>
      <c r="X165" s="24"/>
      <c r="Y165" s="76" t="s">
        <v>39</v>
      </c>
      <c r="Z165" s="76"/>
      <c r="AA165" s="162" t="s">
        <v>525</v>
      </c>
    </row>
    <row r="166" spans="1:27" ht="15" customHeight="1">
      <c r="A166" s="35"/>
      <c r="B166" s="27"/>
      <c r="C166" s="45"/>
      <c r="D166" s="17" t="str" cm="1">
        <f t="array" ref="D166">_xlfn.TEXTJOIN(", ", TRUE(), _xlfn._xlws.FILTER(Speakers_in_Recordings!$B$2:$B$1502,Speakers_in_Recordings!$A$2:$A$1502=Rcrdngs[[#This Row],[Text]],"[no speaker selected in Speakers_in_Recordings]"))</f>
        <v/>
      </c>
      <c r="E166" s="17" t="str" cm="1">
        <f t="array" ref="E166">_xlfn.TEXTJOIN(", ", TRUE(), _xlfn._xlws.FILTER(Sbcts_Rcrdngs[Subject],Sbcts_Rcrdngs[Recording]=Rcrdngs[[#This Row],[Text]],"[no subject selected in Subjects_in_Recordings]"))</f>
        <v/>
      </c>
      <c r="F166" s="18"/>
      <c r="G166" s="19"/>
      <c r="H166" s="19"/>
      <c r="I166" s="19"/>
      <c r="J166" s="19"/>
      <c r="K166" s="153"/>
      <c r="L166" s="61"/>
      <c r="M166" s="20"/>
      <c r="N166" s="20"/>
      <c r="O166" s="21"/>
      <c r="P166" s="21"/>
      <c r="Q166" s="21"/>
      <c r="R166" s="21"/>
      <c r="S166" s="21"/>
      <c r="T166" s="21"/>
      <c r="U166" s="20"/>
      <c r="V166" s="22"/>
      <c r="W166" s="23"/>
      <c r="X166" s="24"/>
      <c r="Y166" s="76"/>
      <c r="Z166" s="76"/>
      <c r="AA166" s="162"/>
    </row>
    <row r="167" spans="1:27" ht="15" customHeight="1">
      <c r="A167" s="35" t="s">
        <v>526</v>
      </c>
      <c r="B167" s="27" t="s">
        <v>527</v>
      </c>
      <c r="C167" s="123" t="s">
        <v>433</v>
      </c>
      <c r="D167" s="17" t="str" cm="1">
        <f t="array" ref="D167">_xlfn.TEXTJOIN(", ", TRUE(), _xlfn._xlws.FILTER(Speakers_in_Recordings!$B$2:$B$1502,Speakers_in_Recordings!$A$2:$A$1502=Rcrdngs[[#This Row],[Text]],"[no speaker selected in Speakers_in_Recordings]"))</f>
        <v>RSD_JOR_2024_YZD, RSD_JOR_2024_Rebecca, RSD_JOR_2024_Speaker24, RSD_JOR_2024_Speaker25, RSD_JOR_2024_Speaker26, RSD_JOR_2024_Speaker27</v>
      </c>
      <c r="E167" s="17" t="str" cm="1">
        <f t="array" ref="E167">_xlfn.TEXTJOIN(", ", TRUE(), _xlfn._xlws.FILTER(Sbcts_Rcrdngs[Subject],Sbcts_Rcrdngs[Recording]=Rcrdngs[[#This Row],[Text]],"[no subject selected in Subjects_in_Recordings]"))</f>
        <v>[no subject selected in Subjects_in_Recordings]</v>
      </c>
      <c r="F167" s="125">
        <v>45425</v>
      </c>
      <c r="G167" s="134" t="s">
        <v>528</v>
      </c>
      <c r="H167" s="19" t="s">
        <v>274</v>
      </c>
      <c r="I167" s="19" t="s">
        <v>32</v>
      </c>
      <c r="J167" s="19"/>
      <c r="K167" s="153"/>
      <c r="L167" s="61" t="s">
        <v>529</v>
      </c>
      <c r="M167" s="123" t="s">
        <v>36</v>
      </c>
      <c r="N167" s="20"/>
      <c r="O167" s="21"/>
      <c r="P167" s="21"/>
      <c r="Q167" s="21"/>
      <c r="R167" s="21"/>
      <c r="S167" s="21"/>
      <c r="T167" s="21"/>
      <c r="U167" s="20"/>
      <c r="V167" s="22"/>
      <c r="W167" s="23"/>
      <c r="X167" s="24"/>
      <c r="Y167" s="76" t="s">
        <v>39</v>
      </c>
      <c r="Z167" s="76"/>
      <c r="AA167" s="162" t="s">
        <v>530</v>
      </c>
    </row>
    <row r="168" spans="1:27" ht="15" customHeight="1">
      <c r="A168" s="35" t="s">
        <v>527</v>
      </c>
      <c r="B168" s="27"/>
      <c r="C168" s="123" t="s">
        <v>433</v>
      </c>
      <c r="D168" s="17" t="str" cm="1">
        <f t="array" ref="D168">_xlfn.TEXTJOIN(", ", TRUE(), _xlfn._xlws.FILTER(Speakers_in_Recordings!$B$2:$B$1502,Speakers_in_Recordings!$A$2:$A$1502=Rcrdngs[[#This Row],[Text]],"[no speaker selected in Speakers_in_Recordings]"))</f>
        <v>RSD_JOR_2024_YZD, RSD_JOR_2024_Rebecca, RSD_JOR_2024_Speaker24, RSD_JOR_2024_Speaker25, RSD_JOR_2024_Speaker26, RSD_JOR_2024_Speaker27</v>
      </c>
      <c r="E168" s="17" t="str" cm="1">
        <f t="array" ref="E168">_xlfn.TEXTJOIN(", ", TRUE(), _xlfn._xlws.FILTER(Sbcts_Rcrdngs[Subject],Sbcts_Rcrdngs[Recording]=Rcrdngs[[#This Row],[Text]],"[no subject selected in Subjects_in_Recordings]"))</f>
        <v>[no subject selected in Subjects_in_Recordings]</v>
      </c>
      <c r="F168" s="125">
        <v>45425</v>
      </c>
      <c r="G168" s="134" t="s">
        <v>531</v>
      </c>
      <c r="H168" s="19" t="s">
        <v>274</v>
      </c>
      <c r="I168" s="19" t="s">
        <v>32</v>
      </c>
      <c r="J168" s="19"/>
      <c r="K168" s="153"/>
      <c r="L168" s="61" t="s">
        <v>529</v>
      </c>
      <c r="M168" s="123" t="s">
        <v>36</v>
      </c>
      <c r="N168" s="20"/>
      <c r="O168" s="21"/>
      <c r="P168" s="21"/>
      <c r="Q168" s="21"/>
      <c r="R168" s="21"/>
      <c r="S168" s="21"/>
      <c r="T168" s="21"/>
      <c r="U168" s="20"/>
      <c r="V168" s="22"/>
      <c r="W168" s="23"/>
      <c r="X168" s="24"/>
      <c r="Y168" s="76" t="s">
        <v>39</v>
      </c>
      <c r="Z168" s="76"/>
      <c r="AA168" s="162" t="s">
        <v>532</v>
      </c>
    </row>
    <row r="169" spans="1:27" ht="15" customHeight="1">
      <c r="A169" s="35" t="s">
        <v>533</v>
      </c>
      <c r="B169" s="27" t="s">
        <v>534</v>
      </c>
      <c r="C169" s="123" t="s">
        <v>433</v>
      </c>
      <c r="D169" s="17" t="str" cm="1">
        <f t="array" ref="D169">_xlfn.TEXTJOIN(", ", TRUE(), _xlfn._xlws.FILTER(Speakers_in_Recordings!$B$2:$B$1502,Speakers_in_Recordings!$A$2:$A$1502=Rcrdngs[[#This Row],[Text]],"[no speaker selected in Speakers_in_Recordings]"))</f>
        <v>RSD_JOR_2024_Speaker16</v>
      </c>
      <c r="E169" s="17" t="str" cm="1">
        <f t="array" ref="E169">_xlfn.TEXTJOIN(", ", TRUE(), _xlfn._xlws.FILTER(Sbcts_Rcrdngs[Subject],Sbcts_Rcrdngs[Recording]=Rcrdngs[[#This Row],[Text]],"[no subject selected in Subjects_in_Recordings]"))</f>
        <v>[no subject selected in Subjects_in_Recordings]</v>
      </c>
      <c r="F169" s="125">
        <v>45424</v>
      </c>
      <c r="G169" s="134" t="s">
        <v>535</v>
      </c>
      <c r="H169" s="19" t="s">
        <v>274</v>
      </c>
      <c r="I169" s="19" t="s">
        <v>32</v>
      </c>
      <c r="J169" s="19"/>
      <c r="K169" s="153"/>
      <c r="L169" s="61" t="s">
        <v>529</v>
      </c>
      <c r="M169" s="123" t="s">
        <v>36</v>
      </c>
      <c r="N169" s="20"/>
      <c r="O169" s="21"/>
      <c r="P169" s="21"/>
      <c r="Q169" s="21"/>
      <c r="R169" s="21"/>
      <c r="S169" s="21"/>
      <c r="T169" s="21"/>
      <c r="U169" s="20"/>
      <c r="V169" s="22"/>
      <c r="W169" s="23"/>
      <c r="X169" s="24"/>
      <c r="Y169" s="76" t="s">
        <v>173</v>
      </c>
      <c r="Z169" s="76"/>
      <c r="AA169" s="162" t="s">
        <v>536</v>
      </c>
    </row>
    <row r="170" spans="1:27" ht="15" customHeight="1">
      <c r="A170" s="35" t="s">
        <v>534</v>
      </c>
      <c r="B170" s="27" t="s">
        <v>537</v>
      </c>
      <c r="C170" s="123" t="s">
        <v>433</v>
      </c>
      <c r="D170" s="17" t="str" cm="1">
        <f t="array" ref="D170">_xlfn.TEXTJOIN(", ", TRUE(), _xlfn._xlws.FILTER(Speakers_in_Recordings!$B$2:$B$1502,Speakers_in_Recordings!$A$2:$A$1502=Rcrdngs[[#This Row],[Text]],"[no speaker selected in Speakers_in_Recordings]"))</f>
        <v>RSD_JOR_2024_Speaker16</v>
      </c>
      <c r="E170" s="17" t="str" cm="1">
        <f t="array" ref="E170">_xlfn.TEXTJOIN(", ", TRUE(), _xlfn._xlws.FILTER(Sbcts_Rcrdngs[Subject],Sbcts_Rcrdngs[Recording]=Rcrdngs[[#This Row],[Text]],"[no subject selected in Subjects_in_Recordings]"))</f>
        <v>[no subject selected in Subjects_in_Recordings]</v>
      </c>
      <c r="F170" s="125">
        <v>45424</v>
      </c>
      <c r="G170" s="134" t="s">
        <v>538</v>
      </c>
      <c r="H170" s="19" t="s">
        <v>274</v>
      </c>
      <c r="I170" s="19" t="s">
        <v>32</v>
      </c>
      <c r="J170" s="19"/>
      <c r="K170" s="153"/>
      <c r="L170" s="61" t="s">
        <v>529</v>
      </c>
      <c r="M170" s="123" t="s">
        <v>36</v>
      </c>
      <c r="N170" s="20"/>
      <c r="O170" s="21"/>
      <c r="P170" s="21"/>
      <c r="Q170" s="21"/>
      <c r="R170" s="21"/>
      <c r="S170" s="21"/>
      <c r="T170" s="21"/>
      <c r="U170" s="20"/>
      <c r="V170" s="22"/>
      <c r="W170" s="23"/>
      <c r="X170" s="24"/>
      <c r="Y170" s="76" t="s">
        <v>173</v>
      </c>
      <c r="Z170" s="76"/>
      <c r="AA170" s="162" t="s">
        <v>539</v>
      </c>
    </row>
    <row r="171" spans="1:27" ht="15" customHeight="1">
      <c r="A171" s="35" t="s">
        <v>537</v>
      </c>
      <c r="B171" s="27" t="s">
        <v>540</v>
      </c>
      <c r="C171" s="123" t="s">
        <v>433</v>
      </c>
      <c r="D171" s="17" t="str" cm="1">
        <f t="array" ref="D171">_xlfn.TEXTJOIN(", ", TRUE(), _xlfn._xlws.FILTER(Speakers_in_Recordings!$B$2:$B$1502,Speakers_in_Recordings!$A$2:$A$1502=Rcrdngs[[#This Row],[Text]],"[no speaker selected in Speakers_in_Recordings]"))</f>
        <v>RSD_JOR_2024_Speaker16</v>
      </c>
      <c r="E171" s="17" t="str" cm="1">
        <f t="array" ref="E171">_xlfn.TEXTJOIN(", ", TRUE(), _xlfn._xlws.FILTER(Sbcts_Rcrdngs[Subject],Sbcts_Rcrdngs[Recording]=Rcrdngs[[#This Row],[Text]],"[no subject selected in Subjects_in_Recordings]"))</f>
        <v>[no subject selected in Subjects_in_Recordings]</v>
      </c>
      <c r="F171" s="125">
        <v>45424</v>
      </c>
      <c r="G171" s="134" t="s">
        <v>541</v>
      </c>
      <c r="H171" s="19" t="s">
        <v>274</v>
      </c>
      <c r="I171" s="19" t="s">
        <v>32</v>
      </c>
      <c r="J171" s="19"/>
      <c r="K171" s="153"/>
      <c r="L171" s="61" t="s">
        <v>529</v>
      </c>
      <c r="M171" s="123" t="s">
        <v>36</v>
      </c>
      <c r="N171" s="20"/>
      <c r="O171" s="21"/>
      <c r="P171" s="21"/>
      <c r="Q171" s="21"/>
      <c r="R171" s="21"/>
      <c r="S171" s="21"/>
      <c r="T171" s="21"/>
      <c r="U171" s="20"/>
      <c r="V171" s="22"/>
      <c r="W171" s="23"/>
      <c r="X171" s="24"/>
      <c r="Y171" s="76" t="s">
        <v>173</v>
      </c>
      <c r="Z171" s="76"/>
      <c r="AA171" s="162" t="s">
        <v>542</v>
      </c>
    </row>
    <row r="172" spans="1:27" ht="15" customHeight="1">
      <c r="A172" s="35" t="s">
        <v>540</v>
      </c>
      <c r="B172" s="27" t="s">
        <v>543</v>
      </c>
      <c r="C172" s="123" t="s">
        <v>433</v>
      </c>
      <c r="D172" s="17" t="str" cm="1">
        <f t="array" ref="D172">_xlfn.TEXTJOIN(", ", TRUE(), _xlfn._xlws.FILTER(Speakers_in_Recordings!$B$2:$B$1502,Speakers_in_Recordings!$A$2:$A$1502=Rcrdngs[[#This Row],[Text]],"[no speaker selected in Speakers_in_Recordings]"))</f>
        <v>RSD_JOR_2024_Speaker16</v>
      </c>
      <c r="E172" s="17" t="str" cm="1">
        <f t="array" ref="E172">_xlfn.TEXTJOIN(", ", TRUE(), _xlfn._xlws.FILTER(Sbcts_Rcrdngs[Subject],Sbcts_Rcrdngs[Recording]=Rcrdngs[[#This Row],[Text]],"[no subject selected in Subjects_in_Recordings]"))</f>
        <v>[no subject selected in Subjects_in_Recordings]</v>
      </c>
      <c r="F172" s="125">
        <v>45424</v>
      </c>
      <c r="G172" s="134" t="s">
        <v>544</v>
      </c>
      <c r="H172" s="19" t="s">
        <v>274</v>
      </c>
      <c r="I172" s="19" t="s">
        <v>32</v>
      </c>
      <c r="J172" s="19"/>
      <c r="K172" s="153"/>
      <c r="L172" s="61" t="s">
        <v>529</v>
      </c>
      <c r="M172" s="123" t="s">
        <v>36</v>
      </c>
      <c r="N172" s="20"/>
      <c r="O172" s="21"/>
      <c r="P172" s="21"/>
      <c r="Q172" s="21"/>
      <c r="R172" s="21"/>
      <c r="S172" s="21"/>
      <c r="T172" s="21"/>
      <c r="U172" s="20"/>
      <c r="V172" s="22"/>
      <c r="W172" s="23"/>
      <c r="X172" s="24"/>
      <c r="Y172" s="76" t="s">
        <v>173</v>
      </c>
      <c r="Z172" s="76"/>
      <c r="AA172" s="162" t="s">
        <v>545</v>
      </c>
    </row>
    <row r="173" spans="1:27" ht="15" customHeight="1">
      <c r="A173" s="35" t="s">
        <v>543</v>
      </c>
      <c r="B173" s="27" t="s">
        <v>546</v>
      </c>
      <c r="C173" s="123" t="s">
        <v>433</v>
      </c>
      <c r="D173" s="17" t="str" cm="1">
        <f t="array" ref="D173">_xlfn.TEXTJOIN(", ", TRUE(), _xlfn._xlws.FILTER(Speakers_in_Recordings!$B$2:$B$1502,Speakers_in_Recordings!$A$2:$A$1502=Rcrdngs[[#This Row],[Text]],"[no speaker selected in Speakers_in_Recordings]"))</f>
        <v>RSD_JOR_2024_Speaker16</v>
      </c>
      <c r="E173" s="17" t="str" cm="1">
        <f t="array" ref="E173">_xlfn.TEXTJOIN(", ", TRUE(), _xlfn._xlws.FILTER(Sbcts_Rcrdngs[Subject],Sbcts_Rcrdngs[Recording]=Rcrdngs[[#This Row],[Text]],"[no subject selected in Subjects_in_Recordings]"))</f>
        <v>[no subject selected in Subjects_in_Recordings]</v>
      </c>
      <c r="F173" s="125">
        <v>45424</v>
      </c>
      <c r="G173" s="134" t="s">
        <v>547</v>
      </c>
      <c r="H173" s="19" t="s">
        <v>274</v>
      </c>
      <c r="I173" s="19" t="s">
        <v>32</v>
      </c>
      <c r="J173" s="19"/>
      <c r="K173" s="153"/>
      <c r="L173" s="61" t="s">
        <v>529</v>
      </c>
      <c r="M173" s="123" t="s">
        <v>36</v>
      </c>
      <c r="N173" s="20"/>
      <c r="O173" s="21"/>
      <c r="P173" s="21"/>
      <c r="Q173" s="21"/>
      <c r="R173" s="21"/>
      <c r="S173" s="21"/>
      <c r="T173" s="21"/>
      <c r="U173" s="20"/>
      <c r="V173" s="22"/>
      <c r="W173" s="23"/>
      <c r="X173" s="24"/>
      <c r="Y173" s="76" t="s">
        <v>173</v>
      </c>
      <c r="Z173" s="76"/>
      <c r="AA173" s="162" t="s">
        <v>548</v>
      </c>
    </row>
    <row r="174" spans="1:27" ht="15" customHeight="1">
      <c r="A174" s="35" t="s">
        <v>546</v>
      </c>
      <c r="B174" s="27" t="s">
        <v>549</v>
      </c>
      <c r="C174" s="123" t="s">
        <v>433</v>
      </c>
      <c r="D174" s="17" t="str" cm="1">
        <f t="array" ref="D174">_xlfn.TEXTJOIN(", ", TRUE(), _xlfn._xlws.FILTER(Speakers_in_Recordings!$B$2:$B$1502,Speakers_in_Recordings!$A$2:$A$1502=Rcrdngs[[#This Row],[Text]],"[no speaker selected in Speakers_in_Recordings]"))</f>
        <v>RSD_JOR_2024_Speaker16</v>
      </c>
      <c r="E174" s="17" t="str" cm="1">
        <f t="array" ref="E174">_xlfn.TEXTJOIN(", ", TRUE(), _xlfn._xlws.FILTER(Sbcts_Rcrdngs[Subject],Sbcts_Rcrdngs[Recording]=Rcrdngs[[#This Row],[Text]],"[no subject selected in Subjects_in_Recordings]"))</f>
        <v>[no subject selected in Subjects_in_Recordings]</v>
      </c>
      <c r="F174" s="125">
        <v>45424</v>
      </c>
      <c r="G174" s="134" t="s">
        <v>550</v>
      </c>
      <c r="H174" s="19" t="s">
        <v>274</v>
      </c>
      <c r="I174" s="19" t="s">
        <v>32</v>
      </c>
      <c r="J174" s="19"/>
      <c r="K174" s="153"/>
      <c r="L174" s="61" t="s">
        <v>529</v>
      </c>
      <c r="M174" s="123" t="s">
        <v>36</v>
      </c>
      <c r="N174" s="20"/>
      <c r="O174" s="21"/>
      <c r="P174" s="21"/>
      <c r="Q174" s="21"/>
      <c r="R174" s="21"/>
      <c r="S174" s="21"/>
      <c r="T174" s="21"/>
      <c r="U174" s="20"/>
      <c r="V174" s="22"/>
      <c r="W174" s="23"/>
      <c r="X174" s="24"/>
      <c r="Y174" s="76" t="s">
        <v>173</v>
      </c>
      <c r="Z174" s="76"/>
      <c r="AA174" s="162" t="s">
        <v>551</v>
      </c>
    </row>
    <row r="175" spans="1:27" ht="15" customHeight="1">
      <c r="A175" s="35" t="s">
        <v>549</v>
      </c>
      <c r="B175" s="27" t="s">
        <v>552</v>
      </c>
      <c r="C175" s="123" t="s">
        <v>433</v>
      </c>
      <c r="D175" s="17" t="str" cm="1">
        <f t="array" ref="D175">_xlfn.TEXTJOIN(", ", TRUE(), _xlfn._xlws.FILTER(Speakers_in_Recordings!$B$2:$B$1502,Speakers_in_Recordings!$A$2:$A$1502=Rcrdngs[[#This Row],[Text]],"[no speaker selected in Speakers_in_Recordings]"))</f>
        <v>RSD_JOR_2024_Speaker16</v>
      </c>
      <c r="E175" s="17" t="str" cm="1">
        <f t="array" ref="E175">_xlfn.TEXTJOIN(", ", TRUE(), _xlfn._xlws.FILTER(Sbcts_Rcrdngs[Subject],Sbcts_Rcrdngs[Recording]=Rcrdngs[[#This Row],[Text]],"[no subject selected in Subjects_in_Recordings]"))</f>
        <v>[no subject selected in Subjects_in_Recordings]</v>
      </c>
      <c r="F175" s="125">
        <v>45424</v>
      </c>
      <c r="G175" s="134" t="s">
        <v>553</v>
      </c>
      <c r="H175" s="19" t="s">
        <v>274</v>
      </c>
      <c r="I175" s="19" t="s">
        <v>32</v>
      </c>
      <c r="J175" s="19"/>
      <c r="K175" s="153"/>
      <c r="L175" s="61" t="s">
        <v>529</v>
      </c>
      <c r="M175" s="123" t="s">
        <v>36</v>
      </c>
      <c r="N175" s="20"/>
      <c r="O175" s="21"/>
      <c r="P175" s="21"/>
      <c r="Q175" s="21"/>
      <c r="R175" s="21"/>
      <c r="S175" s="21"/>
      <c r="T175" s="21"/>
      <c r="U175" s="20"/>
      <c r="V175" s="22"/>
      <c r="W175" s="23"/>
      <c r="X175" s="24"/>
      <c r="Y175" s="76" t="s">
        <v>173</v>
      </c>
      <c r="Z175" s="76"/>
      <c r="AA175" s="162" t="s">
        <v>554</v>
      </c>
    </row>
    <row r="176" spans="1:27" ht="15" customHeight="1">
      <c r="A176" s="35" t="s">
        <v>552</v>
      </c>
      <c r="B176" s="27" t="s">
        <v>555</v>
      </c>
      <c r="C176" s="123" t="s">
        <v>433</v>
      </c>
      <c r="D176" s="17" t="str" cm="1">
        <f t="array" ref="D176">_xlfn.TEXTJOIN(", ", TRUE(), _xlfn._xlws.FILTER(Speakers_in_Recordings!$B$2:$B$1502,Speakers_in_Recordings!$A$2:$A$1502=Rcrdngs[[#This Row],[Text]],"[no speaker selected in Speakers_in_Recordings]"))</f>
        <v>RSD_JOR_2024_Speaker16</v>
      </c>
      <c r="E176" s="17" t="str" cm="1">
        <f t="array" ref="E176">_xlfn.TEXTJOIN(", ", TRUE(), _xlfn._xlws.FILTER(Sbcts_Rcrdngs[Subject],Sbcts_Rcrdngs[Recording]=Rcrdngs[[#This Row],[Text]],"[no subject selected in Subjects_in_Recordings]"))</f>
        <v>[no subject selected in Subjects_in_Recordings]</v>
      </c>
      <c r="F176" s="125">
        <v>45424</v>
      </c>
      <c r="G176" s="134" t="s">
        <v>556</v>
      </c>
      <c r="H176" s="19" t="s">
        <v>274</v>
      </c>
      <c r="I176" s="19" t="s">
        <v>32</v>
      </c>
      <c r="J176" s="19"/>
      <c r="K176" s="153"/>
      <c r="L176" s="61" t="s">
        <v>529</v>
      </c>
      <c r="M176" s="123" t="s">
        <v>36</v>
      </c>
      <c r="N176" s="20"/>
      <c r="O176" s="21"/>
      <c r="P176" s="21"/>
      <c r="Q176" s="21"/>
      <c r="R176" s="21"/>
      <c r="S176" s="21"/>
      <c r="T176" s="21"/>
      <c r="U176" s="20"/>
      <c r="V176" s="22"/>
      <c r="W176" s="23"/>
      <c r="X176" s="24"/>
      <c r="Y176" s="76" t="s">
        <v>173</v>
      </c>
      <c r="Z176" s="76"/>
      <c r="AA176" s="162" t="s">
        <v>557</v>
      </c>
    </row>
    <row r="177" spans="1:27" ht="15" customHeight="1">
      <c r="A177" s="35" t="s">
        <v>555</v>
      </c>
      <c r="B177" s="27"/>
      <c r="C177" s="123" t="s">
        <v>433</v>
      </c>
      <c r="D177" s="17" t="str" cm="1">
        <f t="array" ref="D177">_xlfn.TEXTJOIN(", ", TRUE(), _xlfn._xlws.FILTER(Speakers_in_Recordings!$B$2:$B$1502,Speakers_in_Recordings!$A$2:$A$1502=Rcrdngs[[#This Row],[Text]],"[no speaker selected in Speakers_in_Recordings]"))</f>
        <v>RSD_JOR_2024_Speaker16</v>
      </c>
      <c r="E177" s="17" t="str" cm="1">
        <f t="array" ref="E177">_xlfn.TEXTJOIN(", ", TRUE(), _xlfn._xlws.FILTER(Sbcts_Rcrdngs[Subject],Sbcts_Rcrdngs[Recording]=Rcrdngs[[#This Row],[Text]],"[no subject selected in Subjects_in_Recordings]"))</f>
        <v>[no subject selected in Subjects_in_Recordings]</v>
      </c>
      <c r="F177" s="125">
        <v>45424</v>
      </c>
      <c r="G177" s="134" t="s">
        <v>558</v>
      </c>
      <c r="H177" s="19" t="s">
        <v>274</v>
      </c>
      <c r="I177" s="19" t="s">
        <v>32</v>
      </c>
      <c r="J177" s="19"/>
      <c r="K177" s="153"/>
      <c r="L177" s="61" t="s">
        <v>529</v>
      </c>
      <c r="M177" s="123" t="s">
        <v>36</v>
      </c>
      <c r="N177" s="20"/>
      <c r="O177" s="21"/>
      <c r="P177" s="21"/>
      <c r="Q177" s="21"/>
      <c r="R177" s="21"/>
      <c r="S177" s="21"/>
      <c r="T177" s="21"/>
      <c r="U177" s="20"/>
      <c r="V177" s="22"/>
      <c r="W177" s="23"/>
      <c r="X177" s="24"/>
      <c r="Y177" s="76" t="s">
        <v>173</v>
      </c>
      <c r="Z177" s="76"/>
      <c r="AA177" s="162" t="s">
        <v>559</v>
      </c>
    </row>
    <row r="178" spans="1:27" ht="15" customHeight="1">
      <c r="A178" s="35" t="s">
        <v>560</v>
      </c>
      <c r="B178" s="27" t="s">
        <v>561</v>
      </c>
      <c r="C178" s="123" t="s">
        <v>433</v>
      </c>
      <c r="D178" s="17" t="str" cm="1">
        <f t="array" ref="D178">_xlfn.TEXTJOIN(", ", TRUE(), _xlfn._xlws.FILTER(Speakers_in_Recordings!$B$2:$B$1502,Speakers_in_Recordings!$A$2:$A$1502=Rcrdngs[[#This Row],[Text]],"[no speaker selected in Speakers_in_Recordings]"))</f>
        <v>RSD_JOR_2024_Speaker20</v>
      </c>
      <c r="E178" s="17" t="str" cm="1">
        <f t="array" ref="E178">_xlfn.TEXTJOIN(", ", TRUE(), _xlfn._xlws.FILTER(Sbcts_Rcrdngs[Subject],Sbcts_Rcrdngs[Recording]=Rcrdngs[[#This Row],[Text]],"[no subject selected in Subjects_in_Recordings]"))</f>
        <v>[no subject selected in Subjects_in_Recordings]</v>
      </c>
      <c r="F178" s="125">
        <v>45419</v>
      </c>
      <c r="G178" s="134" t="s">
        <v>562</v>
      </c>
      <c r="H178" s="19" t="s">
        <v>274</v>
      </c>
      <c r="I178" s="19" t="s">
        <v>32</v>
      </c>
      <c r="J178" s="19"/>
      <c r="K178" s="153"/>
      <c r="L178" s="61" t="s">
        <v>529</v>
      </c>
      <c r="M178" s="123" t="s">
        <v>36</v>
      </c>
      <c r="N178" s="20"/>
      <c r="O178" s="21"/>
      <c r="P178" s="21"/>
      <c r="Q178" s="21"/>
      <c r="R178" s="21"/>
      <c r="S178" s="21"/>
      <c r="T178" s="21"/>
      <c r="U178" s="20" t="s">
        <v>520</v>
      </c>
      <c r="V178" s="22"/>
      <c r="W178" s="23"/>
      <c r="X178" s="24"/>
      <c r="Y178" s="76" t="s">
        <v>39</v>
      </c>
      <c r="Z178" s="76"/>
      <c r="AA178" s="162" t="s">
        <v>563</v>
      </c>
    </row>
    <row r="179" spans="1:27" ht="15" customHeight="1">
      <c r="A179" s="35" t="s">
        <v>561</v>
      </c>
      <c r="B179" s="27" t="s">
        <v>564</v>
      </c>
      <c r="C179" s="123" t="s">
        <v>433</v>
      </c>
      <c r="D179" s="17" t="str" cm="1">
        <f t="array" ref="D179">_xlfn.TEXTJOIN(", ", TRUE(), _xlfn._xlws.FILTER(Speakers_in_Recordings!$B$2:$B$1502,Speakers_in_Recordings!$A$2:$A$1502=Rcrdngs[[#This Row],[Text]],"[no speaker selected in Speakers_in_Recordings]"))</f>
        <v>RSD_JOR_2024_Speaker20</v>
      </c>
      <c r="E179" s="17" t="str" cm="1">
        <f t="array" ref="E179">_xlfn.TEXTJOIN(", ", TRUE(), _xlfn._xlws.FILTER(Sbcts_Rcrdngs[Subject],Sbcts_Rcrdngs[Recording]=Rcrdngs[[#This Row],[Text]],"[no subject selected in Subjects_in_Recordings]"))</f>
        <v>[no subject selected in Subjects_in_Recordings]</v>
      </c>
      <c r="F179" s="125">
        <v>45419</v>
      </c>
      <c r="G179" s="134" t="s">
        <v>565</v>
      </c>
      <c r="H179" s="19" t="s">
        <v>274</v>
      </c>
      <c r="I179" s="19" t="s">
        <v>32</v>
      </c>
      <c r="J179" s="19"/>
      <c r="K179" s="153"/>
      <c r="L179" s="61" t="s">
        <v>529</v>
      </c>
      <c r="M179" s="123" t="s">
        <v>36</v>
      </c>
      <c r="N179" s="20"/>
      <c r="O179" s="21"/>
      <c r="P179" s="21"/>
      <c r="Q179" s="21"/>
      <c r="R179" s="21"/>
      <c r="S179" s="21"/>
      <c r="T179" s="21"/>
      <c r="U179" s="20" t="s">
        <v>520</v>
      </c>
      <c r="V179" s="22"/>
      <c r="W179" s="23"/>
      <c r="X179" s="24"/>
      <c r="Y179" s="76" t="s">
        <v>39</v>
      </c>
      <c r="Z179" s="76"/>
      <c r="AA179" s="162" t="s">
        <v>566</v>
      </c>
    </row>
    <row r="180" spans="1:27" ht="15" customHeight="1">
      <c r="A180" s="35" t="s">
        <v>564</v>
      </c>
      <c r="B180" s="27" t="s">
        <v>567</v>
      </c>
      <c r="C180" s="123" t="s">
        <v>433</v>
      </c>
      <c r="D180" s="17" t="str" cm="1">
        <f t="array" ref="D180">_xlfn.TEXTJOIN(", ", TRUE(), _xlfn._xlws.FILTER(Speakers_in_Recordings!$B$2:$B$1502,Speakers_in_Recordings!$A$2:$A$1502=Rcrdngs[[#This Row],[Text]],"[no speaker selected in Speakers_in_Recordings]"))</f>
        <v>RSD_JOR_2024_Speaker20</v>
      </c>
      <c r="E180" s="17" t="str" cm="1">
        <f t="array" ref="E180">_xlfn.TEXTJOIN(", ", TRUE(), _xlfn._xlws.FILTER(Sbcts_Rcrdngs[Subject],Sbcts_Rcrdngs[Recording]=Rcrdngs[[#This Row],[Text]],"[no subject selected in Subjects_in_Recordings]"))</f>
        <v>[no subject selected in Subjects_in_Recordings]</v>
      </c>
      <c r="F180" s="125">
        <v>45419</v>
      </c>
      <c r="G180" s="134" t="s">
        <v>568</v>
      </c>
      <c r="H180" s="19" t="s">
        <v>274</v>
      </c>
      <c r="I180" s="19" t="s">
        <v>32</v>
      </c>
      <c r="J180" s="19"/>
      <c r="K180" s="153"/>
      <c r="L180" s="61" t="s">
        <v>529</v>
      </c>
      <c r="M180" s="123" t="s">
        <v>36</v>
      </c>
      <c r="N180" s="20"/>
      <c r="O180" s="21"/>
      <c r="P180" s="21"/>
      <c r="Q180" s="21"/>
      <c r="R180" s="21"/>
      <c r="S180" s="21"/>
      <c r="T180" s="21"/>
      <c r="U180" s="20" t="s">
        <v>520</v>
      </c>
      <c r="V180" s="22"/>
      <c r="W180" s="23"/>
      <c r="X180" s="24"/>
      <c r="Y180" s="76" t="s">
        <v>39</v>
      </c>
      <c r="Z180" s="76"/>
      <c r="AA180" s="162" t="s">
        <v>569</v>
      </c>
    </row>
    <row r="181" spans="1:27" ht="15" customHeight="1">
      <c r="A181" s="35" t="s">
        <v>567</v>
      </c>
      <c r="B181" s="27" t="s">
        <v>570</v>
      </c>
      <c r="C181" s="123" t="s">
        <v>433</v>
      </c>
      <c r="D181" s="17" t="str" cm="1">
        <f t="array" ref="D181">_xlfn.TEXTJOIN(", ", TRUE(), _xlfn._xlws.FILTER(Speakers_in_Recordings!$B$2:$B$1502,Speakers_in_Recordings!$A$2:$A$1502=Rcrdngs[[#This Row],[Text]],"[no speaker selected in Speakers_in_Recordings]"))</f>
        <v>RSD_JOR_2024_Speaker20</v>
      </c>
      <c r="E181" s="17" t="str" cm="1">
        <f t="array" ref="E181">_xlfn.TEXTJOIN(", ", TRUE(), _xlfn._xlws.FILTER(Sbcts_Rcrdngs[Subject],Sbcts_Rcrdngs[Recording]=Rcrdngs[[#This Row],[Text]],"[no subject selected in Subjects_in_Recordings]"))</f>
        <v>[no subject selected in Subjects_in_Recordings]</v>
      </c>
      <c r="F181" s="125">
        <v>45419</v>
      </c>
      <c r="G181" s="134" t="s">
        <v>571</v>
      </c>
      <c r="H181" s="19" t="s">
        <v>274</v>
      </c>
      <c r="I181" s="19" t="s">
        <v>32</v>
      </c>
      <c r="J181" s="19"/>
      <c r="K181" s="153"/>
      <c r="L181" s="61" t="s">
        <v>529</v>
      </c>
      <c r="M181" s="123" t="s">
        <v>36</v>
      </c>
      <c r="N181" s="20"/>
      <c r="O181" s="21"/>
      <c r="P181" s="21"/>
      <c r="Q181" s="21"/>
      <c r="R181" s="21"/>
      <c r="S181" s="21"/>
      <c r="T181" s="21"/>
      <c r="U181" s="20" t="s">
        <v>520</v>
      </c>
      <c r="V181" s="22"/>
      <c r="W181" s="23"/>
      <c r="X181" s="24"/>
      <c r="Y181" s="76" t="s">
        <v>39</v>
      </c>
      <c r="Z181" s="76"/>
      <c r="AA181" s="162" t="s">
        <v>572</v>
      </c>
    </row>
    <row r="182" spans="1:27" ht="15" customHeight="1">
      <c r="A182" s="35" t="s">
        <v>570</v>
      </c>
      <c r="B182" s="27" t="s">
        <v>573</v>
      </c>
      <c r="C182" s="123" t="s">
        <v>433</v>
      </c>
      <c r="D182" s="17" t="str" cm="1">
        <f t="array" ref="D182">_xlfn.TEXTJOIN(", ", TRUE(), _xlfn._xlws.FILTER(Speakers_in_Recordings!$B$2:$B$1502,Speakers_in_Recordings!$A$2:$A$1502=Rcrdngs[[#This Row],[Text]],"[no speaker selected in Speakers_in_Recordings]"))</f>
        <v>RSD_JOR_2024_Speaker20</v>
      </c>
      <c r="E182" s="17" t="str" cm="1">
        <f t="array" ref="E182">_xlfn.TEXTJOIN(", ", TRUE(), _xlfn._xlws.FILTER(Sbcts_Rcrdngs[Subject],Sbcts_Rcrdngs[Recording]=Rcrdngs[[#This Row],[Text]],"[no subject selected in Subjects_in_Recordings]"))</f>
        <v>[no subject selected in Subjects_in_Recordings]</v>
      </c>
      <c r="F182" s="125">
        <v>45419</v>
      </c>
      <c r="G182" s="134" t="s">
        <v>574</v>
      </c>
      <c r="H182" s="19" t="s">
        <v>274</v>
      </c>
      <c r="I182" s="19" t="s">
        <v>32</v>
      </c>
      <c r="J182" s="19"/>
      <c r="K182" s="153"/>
      <c r="L182" s="61" t="s">
        <v>529</v>
      </c>
      <c r="M182" s="123" t="s">
        <v>36</v>
      </c>
      <c r="N182" s="20"/>
      <c r="O182" s="21"/>
      <c r="P182" s="21"/>
      <c r="Q182" s="21"/>
      <c r="R182" s="21"/>
      <c r="S182" s="21"/>
      <c r="T182" s="21"/>
      <c r="U182" s="20" t="s">
        <v>520</v>
      </c>
      <c r="V182" s="22"/>
      <c r="W182" s="23"/>
      <c r="X182" s="24"/>
      <c r="Y182" s="76" t="s">
        <v>39</v>
      </c>
      <c r="Z182" s="76"/>
      <c r="AA182" s="162" t="s">
        <v>575</v>
      </c>
    </row>
    <row r="183" spans="1:27" ht="15" customHeight="1">
      <c r="A183" s="35" t="s">
        <v>573</v>
      </c>
      <c r="B183" s="27"/>
      <c r="C183" s="123" t="s">
        <v>433</v>
      </c>
      <c r="D183" s="17" t="str" cm="1">
        <f t="array" ref="D183">_xlfn.TEXTJOIN(", ", TRUE(), _xlfn._xlws.FILTER(Speakers_in_Recordings!$B$2:$B$1502,Speakers_in_Recordings!$A$2:$A$1502=Rcrdngs[[#This Row],[Text]],"[no speaker selected in Speakers_in_Recordings]"))</f>
        <v>RSD_JOR_2024_Speaker20</v>
      </c>
      <c r="E183" s="17" t="str" cm="1">
        <f t="array" ref="E183">_xlfn.TEXTJOIN(", ", TRUE(), _xlfn._xlws.FILTER(Sbcts_Rcrdngs[Subject],Sbcts_Rcrdngs[Recording]=Rcrdngs[[#This Row],[Text]],"[no subject selected in Subjects_in_Recordings]"))</f>
        <v>[no subject selected in Subjects_in_Recordings]</v>
      </c>
      <c r="F183" s="125">
        <v>45419</v>
      </c>
      <c r="G183" s="134" t="s">
        <v>576</v>
      </c>
      <c r="H183" s="19" t="s">
        <v>274</v>
      </c>
      <c r="I183" s="19" t="s">
        <v>32</v>
      </c>
      <c r="J183" s="19"/>
      <c r="K183" s="153"/>
      <c r="L183" s="61" t="s">
        <v>529</v>
      </c>
      <c r="M183" s="123" t="s">
        <v>36</v>
      </c>
      <c r="N183" s="20"/>
      <c r="O183" s="21"/>
      <c r="P183" s="21"/>
      <c r="Q183" s="21"/>
      <c r="R183" s="21"/>
      <c r="S183" s="21"/>
      <c r="T183" s="21"/>
      <c r="U183" s="20" t="s">
        <v>520</v>
      </c>
      <c r="V183" s="22"/>
      <c r="W183" s="23"/>
      <c r="X183" s="24"/>
      <c r="Y183" s="76" t="s">
        <v>39</v>
      </c>
      <c r="Z183" s="76"/>
      <c r="AA183" s="162" t="s">
        <v>577</v>
      </c>
    </row>
    <row r="184" spans="1:27" ht="15" customHeight="1">
      <c r="A184" s="35" t="s">
        <v>578</v>
      </c>
      <c r="B184" s="27" t="s">
        <v>579</v>
      </c>
      <c r="C184" s="123" t="s">
        <v>433</v>
      </c>
      <c r="D184" s="17" t="str" cm="1">
        <f t="array" ref="D184">_xlfn.TEXTJOIN(", ", TRUE(), _xlfn._xlws.FILTER(Speakers_in_Recordings!$B$2:$B$1502,Speakers_in_Recordings!$A$2:$A$1502=Rcrdngs[[#This Row],[Text]],"[no speaker selected in Speakers_in_Recordings]"))</f>
        <v>RSD_JOR_2024_Speaker22</v>
      </c>
      <c r="E184" s="17" t="str" cm="1">
        <f t="array" ref="E184">_xlfn.TEXTJOIN(", ", TRUE(), _xlfn._xlws.FILTER(Sbcts_Rcrdngs[Subject],Sbcts_Rcrdngs[Recording]=Rcrdngs[[#This Row],[Text]],"[no subject selected in Subjects_in_Recordings]"))</f>
        <v>[no subject selected in Subjects_in_Recordings]</v>
      </c>
      <c r="F184" s="125">
        <v>45419</v>
      </c>
      <c r="G184" s="134" t="s">
        <v>580</v>
      </c>
      <c r="H184" s="19" t="s">
        <v>274</v>
      </c>
      <c r="I184" s="19" t="s">
        <v>32</v>
      </c>
      <c r="J184" s="19"/>
      <c r="K184" s="153"/>
      <c r="L184" s="61" t="s">
        <v>529</v>
      </c>
      <c r="M184" s="123" t="s">
        <v>36</v>
      </c>
      <c r="N184" s="20"/>
      <c r="O184" s="21"/>
      <c r="P184" s="21"/>
      <c r="Q184" s="21"/>
      <c r="R184" s="21"/>
      <c r="S184" s="21"/>
      <c r="T184" s="21"/>
      <c r="U184" s="20" t="s">
        <v>520</v>
      </c>
      <c r="V184" s="22"/>
      <c r="W184" s="23"/>
      <c r="X184" s="24"/>
      <c r="Y184" s="76" t="s">
        <v>39</v>
      </c>
      <c r="Z184" s="76"/>
      <c r="AA184" s="162" t="s">
        <v>581</v>
      </c>
    </row>
    <row r="185" spans="1:27" ht="15" customHeight="1">
      <c r="A185" s="35" t="s">
        <v>579</v>
      </c>
      <c r="B185" s="27" t="s">
        <v>582</v>
      </c>
      <c r="C185" s="123" t="s">
        <v>433</v>
      </c>
      <c r="D185" s="17" t="str" cm="1">
        <f t="array" ref="D185">_xlfn.TEXTJOIN(", ", TRUE(), _xlfn._xlws.FILTER(Speakers_in_Recordings!$B$2:$B$1502,Speakers_in_Recordings!$A$2:$A$1502=Rcrdngs[[#This Row],[Text]],"[no speaker selected in Speakers_in_Recordings]"))</f>
        <v>RSD_JOR_2024_Speaker22</v>
      </c>
      <c r="E185" s="17" t="str" cm="1">
        <f t="array" ref="E185">_xlfn.TEXTJOIN(", ", TRUE(), _xlfn._xlws.FILTER(Sbcts_Rcrdngs[Subject],Sbcts_Rcrdngs[Recording]=Rcrdngs[[#This Row],[Text]],"[no subject selected in Subjects_in_Recordings]"))</f>
        <v>[no subject selected in Subjects_in_Recordings]</v>
      </c>
      <c r="F185" s="125">
        <v>45419</v>
      </c>
      <c r="G185" s="134" t="s">
        <v>583</v>
      </c>
      <c r="H185" s="19" t="s">
        <v>274</v>
      </c>
      <c r="I185" s="19" t="s">
        <v>32</v>
      </c>
      <c r="J185" s="19"/>
      <c r="K185" s="153"/>
      <c r="L185" s="61" t="s">
        <v>529</v>
      </c>
      <c r="M185" s="123" t="s">
        <v>36</v>
      </c>
      <c r="N185" s="20"/>
      <c r="O185" s="21"/>
      <c r="P185" s="21"/>
      <c r="Q185" s="21"/>
      <c r="R185" s="21"/>
      <c r="S185" s="21"/>
      <c r="T185" s="21"/>
      <c r="U185" s="20" t="s">
        <v>520</v>
      </c>
      <c r="V185" s="22"/>
      <c r="W185" s="23"/>
      <c r="X185" s="24"/>
      <c r="Y185" s="76" t="s">
        <v>39</v>
      </c>
      <c r="Z185" s="76"/>
      <c r="AA185" s="162" t="s">
        <v>584</v>
      </c>
    </row>
    <row r="186" spans="1:27" ht="15" customHeight="1">
      <c r="A186" s="35" t="s">
        <v>582</v>
      </c>
      <c r="B186" s="27"/>
      <c r="C186" s="123" t="s">
        <v>433</v>
      </c>
      <c r="D186" s="17" t="str" cm="1">
        <f t="array" ref="D186">_xlfn.TEXTJOIN(", ", TRUE(), _xlfn._xlws.FILTER(Speakers_in_Recordings!$B$2:$B$1502,Speakers_in_Recordings!$A$2:$A$1502=Rcrdngs[[#This Row],[Text]],"[no speaker selected in Speakers_in_Recordings]"))</f>
        <v>RSD_JOR_2024_Speaker22</v>
      </c>
      <c r="E186" s="17" t="str" cm="1">
        <f t="array" ref="E186">_xlfn.TEXTJOIN(", ", TRUE(), _xlfn._xlws.FILTER(Sbcts_Rcrdngs[Subject],Sbcts_Rcrdngs[Recording]=Rcrdngs[[#This Row],[Text]],"[no subject selected in Subjects_in_Recordings]"))</f>
        <v>[no subject selected in Subjects_in_Recordings]</v>
      </c>
      <c r="F186" s="125">
        <v>45419</v>
      </c>
      <c r="G186" s="134" t="s">
        <v>585</v>
      </c>
      <c r="H186" s="19" t="s">
        <v>274</v>
      </c>
      <c r="I186" s="19" t="s">
        <v>32</v>
      </c>
      <c r="J186" s="19"/>
      <c r="K186" s="153"/>
      <c r="L186" s="61" t="s">
        <v>529</v>
      </c>
      <c r="M186" s="123" t="s">
        <v>36</v>
      </c>
      <c r="N186" s="20"/>
      <c r="O186" s="21"/>
      <c r="P186" s="21"/>
      <c r="Q186" s="21"/>
      <c r="R186" s="21"/>
      <c r="S186" s="21"/>
      <c r="T186" s="21"/>
      <c r="U186" s="20" t="s">
        <v>520</v>
      </c>
      <c r="V186" s="22"/>
      <c r="W186" s="23"/>
      <c r="X186" s="24"/>
      <c r="Y186" s="76" t="s">
        <v>39</v>
      </c>
      <c r="Z186" s="76"/>
      <c r="AA186" s="162" t="s">
        <v>586</v>
      </c>
    </row>
    <row r="187" spans="1:27" ht="15" customHeight="1">
      <c r="A187" s="35" t="s">
        <v>587</v>
      </c>
      <c r="B187" s="27"/>
      <c r="C187" s="123" t="s">
        <v>433</v>
      </c>
      <c r="D187" s="17" t="str" cm="1">
        <f t="array" ref="D187">_xlfn.TEXTJOIN(", ", TRUE(), _xlfn._xlws.FILTER(Speakers_in_Recordings!$B$2:$B$1502,Speakers_in_Recordings!$A$2:$A$1502=Rcrdngs[[#This Row],[Text]],"[no speaker selected in Speakers_in_Recordings]"))</f>
        <v>RSD_JOR_2024_Speaker20</v>
      </c>
      <c r="E187" s="17" t="str" cm="1">
        <f t="array" ref="E187">_xlfn.TEXTJOIN(", ", TRUE(), _xlfn._xlws.FILTER(Sbcts_Rcrdngs[Subject],Sbcts_Rcrdngs[Recording]=Rcrdngs[[#This Row],[Text]],"[no subject selected in Subjects_in_Recordings]"))</f>
        <v>[no subject selected in Subjects_in_Recordings]</v>
      </c>
      <c r="F187" s="125">
        <v>45419</v>
      </c>
      <c r="G187" s="134" t="s">
        <v>466</v>
      </c>
      <c r="H187" s="19" t="s">
        <v>274</v>
      </c>
      <c r="I187" s="19" t="s">
        <v>32</v>
      </c>
      <c r="J187" s="19"/>
      <c r="K187" s="153"/>
      <c r="L187" s="61" t="s">
        <v>529</v>
      </c>
      <c r="M187" s="123" t="s">
        <v>36</v>
      </c>
      <c r="N187" s="20"/>
      <c r="O187" s="21"/>
      <c r="P187" s="21"/>
      <c r="Q187" s="21"/>
      <c r="R187" s="21"/>
      <c r="S187" s="21"/>
      <c r="T187" s="21"/>
      <c r="U187" s="20" t="s">
        <v>520</v>
      </c>
      <c r="V187" s="22"/>
      <c r="W187" s="23"/>
      <c r="X187" s="24"/>
      <c r="Y187" s="76" t="s">
        <v>39</v>
      </c>
      <c r="Z187" s="76"/>
      <c r="AA187" s="162" t="s">
        <v>588</v>
      </c>
    </row>
    <row r="188" spans="1:27" ht="15" customHeight="1">
      <c r="A188" s="35" t="s">
        <v>589</v>
      </c>
      <c r="B188" s="27" t="s">
        <v>590</v>
      </c>
      <c r="C188" s="123" t="s">
        <v>433</v>
      </c>
      <c r="D188" s="17" t="str" cm="1">
        <f t="array" ref="D188">_xlfn.TEXTJOIN(", ", TRUE(), _xlfn._xlws.FILTER(Speakers_in_Recordings!$B$2:$B$1502,Speakers_in_Recordings!$A$2:$A$1502=Rcrdngs[[#This Row],[Text]],"[no speaker selected in Speakers_in_Recordings]"))</f>
        <v>RSD_JOR_2024_Speaker13</v>
      </c>
      <c r="E188" s="17" t="str" cm="1">
        <f t="array" ref="E188">_xlfn.TEXTJOIN(", ", TRUE(), _xlfn._xlws.FILTER(Sbcts_Rcrdngs[Subject],Sbcts_Rcrdngs[Recording]=Rcrdngs[[#This Row],[Text]],"[no subject selected in Subjects_in_Recordings]"))</f>
        <v>[no subject selected in Subjects_in_Recordings]</v>
      </c>
      <c r="F188" s="18">
        <v>45418</v>
      </c>
      <c r="G188" s="134" t="s">
        <v>591</v>
      </c>
      <c r="H188" s="19" t="s">
        <v>274</v>
      </c>
      <c r="I188" s="19" t="s">
        <v>32</v>
      </c>
      <c r="J188" s="19"/>
      <c r="K188" s="153"/>
      <c r="L188" s="61" t="s">
        <v>529</v>
      </c>
      <c r="M188" s="123" t="s">
        <v>36</v>
      </c>
      <c r="N188" s="20"/>
      <c r="O188" s="21"/>
      <c r="P188" s="21"/>
      <c r="Q188" s="21"/>
      <c r="R188" s="21"/>
      <c r="S188" s="21"/>
      <c r="T188" s="21"/>
      <c r="U188" s="20"/>
      <c r="V188" s="22"/>
      <c r="W188" s="23"/>
      <c r="X188" s="24"/>
      <c r="Y188" s="76" t="s">
        <v>39</v>
      </c>
      <c r="Z188" s="76"/>
      <c r="AA188" s="162" t="s">
        <v>592</v>
      </c>
    </row>
    <row r="189" spans="1:27" ht="15" customHeight="1">
      <c r="A189" s="35" t="s">
        <v>590</v>
      </c>
      <c r="B189" s="27" t="s">
        <v>593</v>
      </c>
      <c r="C189" s="123" t="s">
        <v>433</v>
      </c>
      <c r="D189" s="17" t="str" cm="1">
        <f t="array" ref="D189">_xlfn.TEXTJOIN(", ", TRUE(), _xlfn._xlws.FILTER(Speakers_in_Recordings!$B$2:$B$1502,Speakers_in_Recordings!$A$2:$A$1502=Rcrdngs[[#This Row],[Text]],"[no speaker selected in Speakers_in_Recordings]"))</f>
        <v>RSD_JOR_2024_Speaker13</v>
      </c>
      <c r="E189" s="17" t="str" cm="1">
        <f t="array" ref="E189">_xlfn.TEXTJOIN(", ", TRUE(), _xlfn._xlws.FILTER(Sbcts_Rcrdngs[Subject],Sbcts_Rcrdngs[Recording]=Rcrdngs[[#This Row],[Text]],"[no subject selected in Subjects_in_Recordings]"))</f>
        <v>[no subject selected in Subjects_in_Recordings]</v>
      </c>
      <c r="F189" s="18">
        <v>45418</v>
      </c>
      <c r="G189" s="134" t="s">
        <v>594</v>
      </c>
      <c r="H189" s="19" t="s">
        <v>274</v>
      </c>
      <c r="I189" s="19" t="s">
        <v>32</v>
      </c>
      <c r="J189" s="19"/>
      <c r="K189" s="153"/>
      <c r="L189" s="61" t="s">
        <v>529</v>
      </c>
      <c r="M189" s="123" t="s">
        <v>36</v>
      </c>
      <c r="N189" s="20"/>
      <c r="O189" s="21"/>
      <c r="P189" s="21"/>
      <c r="Q189" s="21"/>
      <c r="R189" s="21"/>
      <c r="S189" s="21"/>
      <c r="T189" s="21"/>
      <c r="U189" s="20"/>
      <c r="V189" s="22"/>
      <c r="W189" s="23"/>
      <c r="X189" s="24"/>
      <c r="Y189" s="76" t="s">
        <v>39</v>
      </c>
      <c r="Z189" s="76"/>
      <c r="AA189" s="162" t="s">
        <v>595</v>
      </c>
    </row>
    <row r="190" spans="1:27" ht="15" customHeight="1">
      <c r="A190" s="35" t="s">
        <v>593</v>
      </c>
      <c r="B190" s="27" t="s">
        <v>596</v>
      </c>
      <c r="C190" s="123" t="s">
        <v>433</v>
      </c>
      <c r="D190" s="17" t="str" cm="1">
        <f t="array" ref="D190">_xlfn.TEXTJOIN(", ", TRUE(), _xlfn._xlws.FILTER(Speakers_in_Recordings!$B$2:$B$1502,Speakers_in_Recordings!$A$2:$A$1502=Rcrdngs[[#This Row],[Text]],"[no speaker selected in Speakers_in_Recordings]"))</f>
        <v>RSD_JOR_2024_Speaker13</v>
      </c>
      <c r="E190" s="17" t="str" cm="1">
        <f t="array" ref="E190">_xlfn.TEXTJOIN(", ", TRUE(), _xlfn._xlws.FILTER(Sbcts_Rcrdngs[Subject],Sbcts_Rcrdngs[Recording]=Rcrdngs[[#This Row],[Text]],"[no subject selected in Subjects_in_Recordings]"))</f>
        <v>[no subject selected in Subjects_in_Recordings]</v>
      </c>
      <c r="F190" s="18">
        <v>45418</v>
      </c>
      <c r="G190" s="134" t="s">
        <v>597</v>
      </c>
      <c r="H190" s="19" t="s">
        <v>274</v>
      </c>
      <c r="I190" s="19" t="s">
        <v>32</v>
      </c>
      <c r="J190" s="19"/>
      <c r="K190" s="153"/>
      <c r="L190" s="61" t="s">
        <v>529</v>
      </c>
      <c r="M190" s="123" t="s">
        <v>36</v>
      </c>
      <c r="N190" s="20"/>
      <c r="O190" s="21"/>
      <c r="P190" s="21"/>
      <c r="Q190" s="21"/>
      <c r="R190" s="21"/>
      <c r="S190" s="21"/>
      <c r="T190" s="21"/>
      <c r="U190" s="20"/>
      <c r="V190" s="22"/>
      <c r="W190" s="23"/>
      <c r="X190" s="24"/>
      <c r="Y190" s="76" t="s">
        <v>39</v>
      </c>
      <c r="Z190" s="76"/>
      <c r="AA190" s="162" t="s">
        <v>598</v>
      </c>
    </row>
    <row r="191" spans="1:27" ht="15" customHeight="1">
      <c r="A191" s="35" t="s">
        <v>596</v>
      </c>
      <c r="B191" s="27" t="s">
        <v>599</v>
      </c>
      <c r="C191" s="123" t="s">
        <v>433</v>
      </c>
      <c r="D191" s="17" t="str" cm="1">
        <f t="array" ref="D191">_xlfn.TEXTJOIN(", ", TRUE(), _xlfn._xlws.FILTER(Speakers_in_Recordings!$B$2:$B$1502,Speakers_in_Recordings!$A$2:$A$1502=Rcrdngs[[#This Row],[Text]],"[no speaker selected in Speakers_in_Recordings]"))</f>
        <v>RSD_JOR_2024_Speaker13</v>
      </c>
      <c r="E191" s="17" t="str" cm="1">
        <f t="array" ref="E191">_xlfn.TEXTJOIN(", ", TRUE(), _xlfn._xlws.FILTER(Sbcts_Rcrdngs[Subject],Sbcts_Rcrdngs[Recording]=Rcrdngs[[#This Row],[Text]],"[no subject selected in Subjects_in_Recordings]"))</f>
        <v>[no subject selected in Subjects_in_Recordings]</v>
      </c>
      <c r="F191" s="18">
        <v>45418</v>
      </c>
      <c r="G191" s="134" t="s">
        <v>600</v>
      </c>
      <c r="H191" s="19" t="s">
        <v>274</v>
      </c>
      <c r="I191" s="19" t="s">
        <v>32</v>
      </c>
      <c r="J191" s="19"/>
      <c r="K191" s="153"/>
      <c r="L191" s="61" t="s">
        <v>529</v>
      </c>
      <c r="M191" s="123" t="s">
        <v>36</v>
      </c>
      <c r="N191" s="20"/>
      <c r="O191" s="21"/>
      <c r="P191" s="21"/>
      <c r="Q191" s="21"/>
      <c r="R191" s="21"/>
      <c r="S191" s="21"/>
      <c r="T191" s="21"/>
      <c r="U191" s="20"/>
      <c r="V191" s="22"/>
      <c r="W191" s="23"/>
      <c r="X191" s="24"/>
      <c r="Y191" s="76" t="s">
        <v>39</v>
      </c>
      <c r="Z191" s="76"/>
      <c r="AA191" s="162" t="s">
        <v>601</v>
      </c>
    </row>
    <row r="192" spans="1:27" ht="15" customHeight="1">
      <c r="A192" s="35" t="s">
        <v>599</v>
      </c>
      <c r="B192" s="27" t="s">
        <v>602</v>
      </c>
      <c r="C192" s="123" t="s">
        <v>433</v>
      </c>
      <c r="D192" s="17" t="str" cm="1">
        <f t="array" ref="D192">_xlfn.TEXTJOIN(", ", TRUE(), _xlfn._xlws.FILTER(Speakers_in_Recordings!$B$2:$B$1502,Speakers_in_Recordings!$A$2:$A$1502=Rcrdngs[[#This Row],[Text]],"[no speaker selected in Speakers_in_Recordings]"))</f>
        <v>RSD_JOR_2024_Speaker13</v>
      </c>
      <c r="E192" s="17" t="str" cm="1">
        <f t="array" ref="E192">_xlfn.TEXTJOIN(", ", TRUE(), _xlfn._xlws.FILTER(Sbcts_Rcrdngs[Subject],Sbcts_Rcrdngs[Recording]=Rcrdngs[[#This Row],[Text]],"[no subject selected in Subjects_in_Recordings]"))</f>
        <v>[no subject selected in Subjects_in_Recordings]</v>
      </c>
      <c r="F192" s="18">
        <v>45418</v>
      </c>
      <c r="G192" s="134" t="s">
        <v>200</v>
      </c>
      <c r="H192" s="19" t="s">
        <v>274</v>
      </c>
      <c r="I192" s="19" t="s">
        <v>32</v>
      </c>
      <c r="J192" s="19"/>
      <c r="K192" s="153"/>
      <c r="L192" s="61" t="s">
        <v>529</v>
      </c>
      <c r="M192" s="123" t="s">
        <v>36</v>
      </c>
      <c r="N192" s="20"/>
      <c r="O192" s="21"/>
      <c r="P192" s="21"/>
      <c r="Q192" s="21"/>
      <c r="R192" s="21"/>
      <c r="S192" s="21"/>
      <c r="T192" s="21"/>
      <c r="U192" s="20"/>
      <c r="V192" s="22"/>
      <c r="W192" s="23"/>
      <c r="X192" s="24"/>
      <c r="Y192" s="76" t="s">
        <v>39</v>
      </c>
      <c r="Z192" s="76"/>
      <c r="AA192" s="162" t="s">
        <v>603</v>
      </c>
    </row>
    <row r="193" spans="1:27" ht="15" customHeight="1">
      <c r="A193" s="35" t="s">
        <v>602</v>
      </c>
      <c r="B193" s="27" t="s">
        <v>604</v>
      </c>
      <c r="C193" s="123" t="s">
        <v>433</v>
      </c>
      <c r="D193" s="17" t="str" cm="1">
        <f t="array" ref="D193">_xlfn.TEXTJOIN(", ", TRUE(), _xlfn._xlws.FILTER(Speakers_in_Recordings!$B$2:$B$1502,Speakers_in_Recordings!$A$2:$A$1502=Rcrdngs[[#This Row],[Text]],"[no speaker selected in Speakers_in_Recordings]"))</f>
        <v>RSD_JOR_2024_Speaker13</v>
      </c>
      <c r="E193" s="17" t="str" cm="1">
        <f t="array" ref="E193">_xlfn.TEXTJOIN(", ", TRUE(), _xlfn._xlws.FILTER(Sbcts_Rcrdngs[Subject],Sbcts_Rcrdngs[Recording]=Rcrdngs[[#This Row],[Text]],"[no subject selected in Subjects_in_Recordings]"))</f>
        <v>[no subject selected in Subjects_in_Recordings]</v>
      </c>
      <c r="F193" s="18">
        <v>45418</v>
      </c>
      <c r="G193" s="134" t="s">
        <v>605</v>
      </c>
      <c r="H193" s="19" t="s">
        <v>274</v>
      </c>
      <c r="I193" s="19" t="s">
        <v>32</v>
      </c>
      <c r="J193" s="19"/>
      <c r="K193" s="153"/>
      <c r="L193" s="61" t="s">
        <v>529</v>
      </c>
      <c r="M193" s="123" t="s">
        <v>36</v>
      </c>
      <c r="N193" s="20"/>
      <c r="O193" s="21"/>
      <c r="P193" s="21"/>
      <c r="Q193" s="21"/>
      <c r="R193" s="21"/>
      <c r="S193" s="21"/>
      <c r="T193" s="21"/>
      <c r="U193" s="20"/>
      <c r="V193" s="22"/>
      <c r="W193" s="23"/>
      <c r="X193" s="24"/>
      <c r="Y193" s="76" t="s">
        <v>39</v>
      </c>
      <c r="Z193" s="76"/>
      <c r="AA193" s="162" t="s">
        <v>606</v>
      </c>
    </row>
    <row r="194" spans="1:27" ht="15" customHeight="1">
      <c r="A194" s="35" t="s">
        <v>604</v>
      </c>
      <c r="B194" s="27" t="s">
        <v>607</v>
      </c>
      <c r="C194" s="123" t="s">
        <v>433</v>
      </c>
      <c r="D194" s="17" t="str" cm="1">
        <f t="array" ref="D194">_xlfn.TEXTJOIN(", ", TRUE(), _xlfn._xlws.FILTER(Speakers_in_Recordings!$B$2:$B$1502,Speakers_in_Recordings!$A$2:$A$1502=Rcrdngs[[#This Row],[Text]],"[no speaker selected in Speakers_in_Recordings]"))</f>
        <v>RSD_JOR_2024_Speaker13</v>
      </c>
      <c r="E194" s="17" t="str" cm="1">
        <f t="array" ref="E194">_xlfn.TEXTJOIN(", ", TRUE(), _xlfn._xlws.FILTER(Sbcts_Rcrdngs[Subject],Sbcts_Rcrdngs[Recording]=Rcrdngs[[#This Row],[Text]],"[no subject selected in Subjects_in_Recordings]"))</f>
        <v>[no subject selected in Subjects_in_Recordings]</v>
      </c>
      <c r="F194" s="18">
        <v>45418</v>
      </c>
      <c r="G194" s="134" t="s">
        <v>608</v>
      </c>
      <c r="H194" s="19" t="s">
        <v>274</v>
      </c>
      <c r="I194" s="19" t="s">
        <v>32</v>
      </c>
      <c r="J194" s="19"/>
      <c r="K194" s="153"/>
      <c r="L194" s="61" t="s">
        <v>529</v>
      </c>
      <c r="M194" s="123" t="s">
        <v>36</v>
      </c>
      <c r="N194" s="20"/>
      <c r="O194" s="21"/>
      <c r="P194" s="21"/>
      <c r="Q194" s="21"/>
      <c r="R194" s="21"/>
      <c r="S194" s="21"/>
      <c r="T194" s="21"/>
      <c r="U194" s="20"/>
      <c r="V194" s="22"/>
      <c r="W194" s="23"/>
      <c r="X194" s="24"/>
      <c r="Y194" s="76" t="s">
        <v>39</v>
      </c>
      <c r="Z194" s="76"/>
      <c r="AA194" s="162" t="s">
        <v>609</v>
      </c>
    </row>
    <row r="195" spans="1:27" ht="15" customHeight="1">
      <c r="A195" s="35" t="s">
        <v>607</v>
      </c>
      <c r="B195" s="27" t="s">
        <v>610</v>
      </c>
      <c r="C195" s="123" t="s">
        <v>433</v>
      </c>
      <c r="D195" s="17" t="str" cm="1">
        <f t="array" ref="D195">_xlfn.TEXTJOIN(", ", TRUE(), _xlfn._xlws.FILTER(Speakers_in_Recordings!$B$2:$B$1502,Speakers_in_Recordings!$A$2:$A$1502=Rcrdngs[[#This Row],[Text]],"[no speaker selected in Speakers_in_Recordings]"))</f>
        <v>RSD_JOR_2024_Speaker13</v>
      </c>
      <c r="E195" s="17" t="str" cm="1">
        <f t="array" ref="E195">_xlfn.TEXTJOIN(", ", TRUE(), _xlfn._xlws.FILTER(Sbcts_Rcrdngs[Subject],Sbcts_Rcrdngs[Recording]=Rcrdngs[[#This Row],[Text]],"[no subject selected in Subjects_in_Recordings]"))</f>
        <v>[no subject selected in Subjects_in_Recordings]</v>
      </c>
      <c r="F195" s="18">
        <v>45418</v>
      </c>
      <c r="G195" s="134" t="s">
        <v>611</v>
      </c>
      <c r="H195" s="19" t="s">
        <v>274</v>
      </c>
      <c r="I195" s="19" t="s">
        <v>32</v>
      </c>
      <c r="J195" s="19"/>
      <c r="K195" s="153"/>
      <c r="L195" s="61" t="s">
        <v>529</v>
      </c>
      <c r="M195" s="123" t="s">
        <v>36</v>
      </c>
      <c r="N195" s="20"/>
      <c r="O195" s="21"/>
      <c r="P195" s="21"/>
      <c r="Q195" s="21"/>
      <c r="R195" s="21"/>
      <c r="S195" s="21"/>
      <c r="T195" s="21"/>
      <c r="U195" s="20"/>
      <c r="V195" s="22"/>
      <c r="W195" s="23"/>
      <c r="X195" s="24"/>
      <c r="Y195" s="76" t="s">
        <v>39</v>
      </c>
      <c r="Z195" s="76"/>
      <c r="AA195" s="162" t="s">
        <v>612</v>
      </c>
    </row>
    <row r="196" spans="1:27" ht="15" customHeight="1">
      <c r="A196" s="35" t="s">
        <v>610</v>
      </c>
      <c r="B196" s="27" t="s">
        <v>613</v>
      </c>
      <c r="C196" s="123" t="s">
        <v>433</v>
      </c>
      <c r="D196" s="17" t="str" cm="1">
        <f t="array" ref="D196">_xlfn.TEXTJOIN(", ", TRUE(), _xlfn._xlws.FILTER(Speakers_in_Recordings!$B$2:$B$1502,Speakers_in_Recordings!$A$2:$A$1502=Rcrdngs[[#This Row],[Text]],"[no speaker selected in Speakers_in_Recordings]"))</f>
        <v>RSD_JOR_2024_Speaker13</v>
      </c>
      <c r="E196" s="17" t="str" cm="1">
        <f t="array" ref="E196">_xlfn.TEXTJOIN(", ", TRUE(), _xlfn._xlws.FILTER(Sbcts_Rcrdngs[Subject],Sbcts_Rcrdngs[Recording]=Rcrdngs[[#This Row],[Text]],"[no subject selected in Subjects_in_Recordings]"))</f>
        <v>[no subject selected in Subjects_in_Recordings]</v>
      </c>
      <c r="F196" s="18">
        <v>45418</v>
      </c>
      <c r="G196" s="134" t="s">
        <v>614</v>
      </c>
      <c r="H196" s="19" t="s">
        <v>274</v>
      </c>
      <c r="I196" s="19" t="s">
        <v>32</v>
      </c>
      <c r="J196" s="19"/>
      <c r="K196" s="153"/>
      <c r="L196" s="61" t="s">
        <v>529</v>
      </c>
      <c r="M196" s="123" t="s">
        <v>36</v>
      </c>
      <c r="N196" s="20"/>
      <c r="O196" s="21"/>
      <c r="P196" s="21"/>
      <c r="Q196" s="21"/>
      <c r="R196" s="21"/>
      <c r="S196" s="21"/>
      <c r="T196" s="21"/>
      <c r="U196" s="20"/>
      <c r="V196" s="22"/>
      <c r="W196" s="23"/>
      <c r="X196" s="24"/>
      <c r="Y196" s="76" t="s">
        <v>39</v>
      </c>
      <c r="Z196" s="76"/>
      <c r="AA196" s="162" t="s">
        <v>615</v>
      </c>
    </row>
    <row r="197" spans="1:27" ht="15" customHeight="1">
      <c r="A197" s="35" t="s">
        <v>613</v>
      </c>
      <c r="B197" s="27"/>
      <c r="C197" s="123" t="s">
        <v>433</v>
      </c>
      <c r="D197" s="17" t="str" cm="1">
        <f t="array" ref="D197">_xlfn.TEXTJOIN(", ", TRUE(), _xlfn._xlws.FILTER(Speakers_in_Recordings!$B$2:$B$1502,Speakers_in_Recordings!$A$2:$A$1502=Rcrdngs[[#This Row],[Text]],"[no speaker selected in Speakers_in_Recordings]"))</f>
        <v>RSD_JOR_2024_Speaker13</v>
      </c>
      <c r="E197" s="17" t="str" cm="1">
        <f t="array" ref="E197">_xlfn.TEXTJOIN(", ", TRUE(), _xlfn._xlws.FILTER(Sbcts_Rcrdngs[Subject],Sbcts_Rcrdngs[Recording]=Rcrdngs[[#This Row],[Text]],"[no subject selected in Subjects_in_Recordings]"))</f>
        <v>[no subject selected in Subjects_in_Recordings]</v>
      </c>
      <c r="F197" s="18">
        <v>45418</v>
      </c>
      <c r="G197" s="134" t="s">
        <v>616</v>
      </c>
      <c r="H197" s="19" t="s">
        <v>274</v>
      </c>
      <c r="I197" s="19" t="s">
        <v>32</v>
      </c>
      <c r="J197" s="19"/>
      <c r="K197" s="153"/>
      <c r="L197" s="61" t="s">
        <v>529</v>
      </c>
      <c r="M197" s="123" t="s">
        <v>36</v>
      </c>
      <c r="N197" s="20"/>
      <c r="O197" s="21"/>
      <c r="P197" s="21"/>
      <c r="Q197" s="21"/>
      <c r="R197" s="21"/>
      <c r="S197" s="21"/>
      <c r="T197" s="21"/>
      <c r="U197" s="20"/>
      <c r="V197" s="22"/>
      <c r="W197" s="23"/>
      <c r="X197" s="24"/>
      <c r="Y197" s="76" t="s">
        <v>39</v>
      </c>
      <c r="Z197" s="76"/>
      <c r="AA197" s="162" t="s">
        <v>617</v>
      </c>
    </row>
    <row r="198" spans="1:27" ht="15" customHeight="1">
      <c r="A198" s="35" t="s">
        <v>618</v>
      </c>
      <c r="B198" s="27" t="s">
        <v>619</v>
      </c>
      <c r="C198" s="123" t="s">
        <v>433</v>
      </c>
      <c r="D198" s="17" t="str" cm="1">
        <f t="array" ref="D198">_xlfn.TEXTJOIN(", ", TRUE(), _xlfn._xlws.FILTER(Speakers_in_Recordings!$B$2:$B$1502,Speakers_in_Recordings!$A$2:$A$1502=Rcrdngs[[#This Row],[Text]],"[no speaker selected in Speakers_in_Recordings]"))</f>
        <v>RSD_JOR_2024_Speaker12</v>
      </c>
      <c r="E198" s="17" t="str" cm="1">
        <f t="array" ref="E198">_xlfn.TEXTJOIN(", ", TRUE(), _xlfn._xlws.FILTER(Sbcts_Rcrdngs[Subject],Sbcts_Rcrdngs[Recording]=Rcrdngs[[#This Row],[Text]],"[no subject selected in Subjects_in_Recordings]"))</f>
        <v>[no subject selected in Subjects_in_Recordings]</v>
      </c>
      <c r="F198" s="18">
        <v>45411</v>
      </c>
      <c r="G198" s="134" t="s">
        <v>620</v>
      </c>
      <c r="H198" s="19" t="s">
        <v>274</v>
      </c>
      <c r="I198" s="19" t="s">
        <v>32</v>
      </c>
      <c r="J198" s="19"/>
      <c r="K198" s="153"/>
      <c r="L198" s="61" t="s">
        <v>529</v>
      </c>
      <c r="M198" s="123" t="s">
        <v>36</v>
      </c>
      <c r="N198" s="20"/>
      <c r="O198" s="21"/>
      <c r="P198" s="21"/>
      <c r="Q198" s="21"/>
      <c r="R198" s="21"/>
      <c r="S198" s="21"/>
      <c r="T198" s="21"/>
      <c r="U198" s="20" t="s">
        <v>442</v>
      </c>
      <c r="V198" s="22"/>
      <c r="W198" s="23"/>
      <c r="X198" s="24"/>
      <c r="Y198" s="76" t="s">
        <v>39</v>
      </c>
      <c r="Z198" s="76"/>
      <c r="AA198" s="162" t="s">
        <v>621</v>
      </c>
    </row>
    <row r="199" spans="1:27" ht="15" customHeight="1">
      <c r="A199" s="35" t="s">
        <v>619</v>
      </c>
      <c r="B199" s="27"/>
      <c r="C199" s="123" t="s">
        <v>433</v>
      </c>
      <c r="D199" s="17" t="str" cm="1">
        <f t="array" ref="D199">_xlfn.TEXTJOIN(", ", TRUE(), _xlfn._xlws.FILTER(Speakers_in_Recordings!$B$2:$B$1502,Speakers_in_Recordings!$A$2:$A$1502=Rcrdngs[[#This Row],[Text]],"[no speaker selected in Speakers_in_Recordings]"))</f>
        <v>RSD_JOR_2024_Speaker5</v>
      </c>
      <c r="E199" s="17" t="str" cm="1">
        <f t="array" ref="E199">_xlfn.TEXTJOIN(", ", TRUE(), _xlfn._xlws.FILTER(Sbcts_Rcrdngs[Subject],Sbcts_Rcrdngs[Recording]=Rcrdngs[[#This Row],[Text]],"[no subject selected in Subjects_in_Recordings]"))</f>
        <v>[no subject selected in Subjects_in_Recordings]</v>
      </c>
      <c r="F199" s="18">
        <v>45411</v>
      </c>
      <c r="G199" s="134" t="s">
        <v>622</v>
      </c>
      <c r="H199" s="19" t="s">
        <v>274</v>
      </c>
      <c r="I199" s="19" t="s">
        <v>32</v>
      </c>
      <c r="J199" s="19"/>
      <c r="K199" s="153"/>
      <c r="L199" s="61" t="s">
        <v>529</v>
      </c>
      <c r="M199" s="123" t="s">
        <v>36</v>
      </c>
      <c r="N199" s="20"/>
      <c r="O199" s="21"/>
      <c r="P199" s="21"/>
      <c r="Q199" s="21"/>
      <c r="R199" s="21"/>
      <c r="S199" s="21"/>
      <c r="T199" s="21"/>
      <c r="U199" s="20" t="s">
        <v>442</v>
      </c>
      <c r="V199" s="22"/>
      <c r="W199" s="23"/>
      <c r="X199" s="24"/>
      <c r="Y199" s="76" t="s">
        <v>173</v>
      </c>
      <c r="Z199" s="76"/>
      <c r="AA199" s="162" t="s">
        <v>623</v>
      </c>
    </row>
    <row r="200" spans="1:27" ht="15" customHeight="1">
      <c r="A200" s="35" t="s">
        <v>624</v>
      </c>
      <c r="B200" s="27" t="s">
        <v>625</v>
      </c>
      <c r="C200" s="123" t="s">
        <v>433</v>
      </c>
      <c r="D200" s="17" t="str" cm="1">
        <f t="array" ref="D200">_xlfn.TEXTJOIN(", ", TRUE(), _xlfn._xlws.FILTER(Speakers_in_Recordings!$B$2:$B$1502,Speakers_in_Recordings!$A$2:$A$1502=Rcrdngs[[#This Row],[Text]],"[no speaker selected in Speakers_in_Recordings]"))</f>
        <v>RSD_JOR_2024_Speaker2</v>
      </c>
      <c r="E200" s="17" t="str" cm="1">
        <f t="array" ref="E200">_xlfn.TEXTJOIN(", ", TRUE(), _xlfn._xlws.FILTER(Sbcts_Rcrdngs[Subject],Sbcts_Rcrdngs[Recording]=Rcrdngs[[#This Row],[Text]],"[no subject selected in Subjects_in_Recordings]"))</f>
        <v>[no subject selected in Subjects_in_Recordings]</v>
      </c>
      <c r="F200" s="18">
        <v>45408</v>
      </c>
      <c r="G200" s="134" t="s">
        <v>626</v>
      </c>
      <c r="H200" s="19" t="s">
        <v>274</v>
      </c>
      <c r="I200" s="19" t="s">
        <v>32</v>
      </c>
      <c r="J200" s="19"/>
      <c r="K200" s="153"/>
      <c r="L200" s="61" t="s">
        <v>529</v>
      </c>
      <c r="M200" s="123" t="s">
        <v>36</v>
      </c>
      <c r="N200" s="20"/>
      <c r="O200" s="21"/>
      <c r="P200" s="21"/>
      <c r="Q200" s="21"/>
      <c r="R200" s="21"/>
      <c r="S200" s="21"/>
      <c r="T200" s="21"/>
      <c r="U200" s="20" t="s">
        <v>435</v>
      </c>
      <c r="V200" s="22"/>
      <c r="W200" s="23"/>
      <c r="X200" s="24"/>
      <c r="Y200" s="76" t="s">
        <v>39</v>
      </c>
      <c r="Z200" s="76"/>
      <c r="AA200" s="162" t="s">
        <v>627</v>
      </c>
    </row>
    <row r="201" spans="1:27" ht="15" customHeight="1">
      <c r="A201" s="142" t="s">
        <v>625</v>
      </c>
      <c r="B201" s="27" t="s">
        <v>628</v>
      </c>
      <c r="C201" s="123" t="s">
        <v>433</v>
      </c>
      <c r="D201" s="17" t="str" cm="1">
        <f t="array" ref="D201">_xlfn.TEXTJOIN(", ", TRUE(), _xlfn._xlws.FILTER(Speakers_in_Recordings!$B$2:$B$1502,Speakers_in_Recordings!$A$2:$A$1502=Rcrdngs[[#This Row],[Text]],"[no speaker selected in Speakers_in_Recordings]"))</f>
        <v>RSD_JOR_2024_Speaker2</v>
      </c>
      <c r="E201" s="17" t="str" cm="1">
        <f t="array" ref="E201">_xlfn.TEXTJOIN(", ", TRUE(), _xlfn._xlws.FILTER(Sbcts_Rcrdngs[Subject],Sbcts_Rcrdngs[Recording]=Rcrdngs[[#This Row],[Text]],"[no subject selected in Subjects_in_Recordings]"))</f>
        <v>[no subject selected in Subjects_in_Recordings]</v>
      </c>
      <c r="F201" s="18">
        <v>45408</v>
      </c>
      <c r="G201" s="134" t="s">
        <v>629</v>
      </c>
      <c r="H201" s="19" t="s">
        <v>274</v>
      </c>
      <c r="I201" s="19" t="s">
        <v>32</v>
      </c>
      <c r="J201" s="19"/>
      <c r="K201" s="153"/>
      <c r="L201" s="61" t="s">
        <v>529</v>
      </c>
      <c r="M201" s="123" t="s">
        <v>36</v>
      </c>
      <c r="N201" s="20"/>
      <c r="O201" s="21"/>
      <c r="P201" s="21"/>
      <c r="Q201" s="21"/>
      <c r="R201" s="21"/>
      <c r="S201" s="21"/>
      <c r="T201" s="21"/>
      <c r="U201" s="20" t="s">
        <v>435</v>
      </c>
      <c r="V201" s="22"/>
      <c r="W201" s="23"/>
      <c r="X201" s="24"/>
      <c r="Y201" s="76" t="s">
        <v>39</v>
      </c>
      <c r="Z201" s="76"/>
      <c r="AA201" s="162" t="s">
        <v>630</v>
      </c>
    </row>
    <row r="202" spans="1:27" ht="15" customHeight="1">
      <c r="A202" s="143" t="s">
        <v>628</v>
      </c>
      <c r="B202" s="27" t="s">
        <v>631</v>
      </c>
      <c r="C202" s="123" t="s">
        <v>433</v>
      </c>
      <c r="D202" s="17" t="str" cm="1">
        <f t="array" ref="D202">_xlfn.TEXTJOIN(", ", TRUE(), _xlfn._xlws.FILTER(Speakers_in_Recordings!$B$2:$B$1502,Speakers_in_Recordings!$A$2:$A$1502=Rcrdngs[[#This Row],[Text]],"[no speaker selected in Speakers_in_Recordings]"))</f>
        <v>RSD_JOR_2024_Speaker2</v>
      </c>
      <c r="E202" s="17" t="str" cm="1">
        <f t="array" ref="E202">_xlfn.TEXTJOIN(", ", TRUE(), _xlfn._xlws.FILTER(Sbcts_Rcrdngs[Subject],Sbcts_Rcrdngs[Recording]=Rcrdngs[[#This Row],[Text]],"[no subject selected in Subjects_in_Recordings]"))</f>
        <v>[no subject selected in Subjects_in_Recordings]</v>
      </c>
      <c r="F202" s="18">
        <v>45408</v>
      </c>
      <c r="G202" s="134" t="s">
        <v>632</v>
      </c>
      <c r="H202" s="19" t="s">
        <v>274</v>
      </c>
      <c r="I202" s="19" t="s">
        <v>32</v>
      </c>
      <c r="J202" s="19"/>
      <c r="K202" s="153"/>
      <c r="L202" s="61" t="s">
        <v>529</v>
      </c>
      <c r="M202" s="123" t="s">
        <v>36</v>
      </c>
      <c r="N202" s="20"/>
      <c r="O202" s="21"/>
      <c r="P202" s="21"/>
      <c r="Q202" s="21"/>
      <c r="R202" s="21"/>
      <c r="S202" s="21"/>
      <c r="T202" s="21"/>
      <c r="U202" s="20" t="s">
        <v>435</v>
      </c>
      <c r="V202" s="22"/>
      <c r="W202" s="23"/>
      <c r="X202" s="24"/>
      <c r="Y202" s="76" t="s">
        <v>39</v>
      </c>
      <c r="Z202" s="76"/>
      <c r="AA202" s="162" t="s">
        <v>633</v>
      </c>
    </row>
    <row r="203" spans="1:27" ht="15" customHeight="1">
      <c r="A203" s="144" t="s">
        <v>631</v>
      </c>
      <c r="B203" s="27"/>
      <c r="C203" s="123" t="s">
        <v>433</v>
      </c>
      <c r="D203" s="17" t="str" cm="1">
        <f t="array" ref="D203">_xlfn.TEXTJOIN(", ", TRUE(), _xlfn._xlws.FILTER(Speakers_in_Recordings!$B$2:$B$1502,Speakers_in_Recordings!$A$2:$A$1502=Rcrdngs[[#This Row],[Text]],"[no speaker selected in Speakers_in_Recordings]"))</f>
        <v>RSD_JOR_2024_Speaker2</v>
      </c>
      <c r="E203" s="17" t="str" cm="1">
        <f t="array" ref="E203">_xlfn.TEXTJOIN(", ", TRUE(), _xlfn._xlws.FILTER(Sbcts_Rcrdngs[Subject],Sbcts_Rcrdngs[Recording]=Rcrdngs[[#This Row],[Text]],"[no subject selected in Subjects_in_Recordings]"))</f>
        <v>[no subject selected in Subjects_in_Recordings]</v>
      </c>
      <c r="F203" s="18">
        <v>45408</v>
      </c>
      <c r="G203" s="134" t="s">
        <v>634</v>
      </c>
      <c r="H203" s="19" t="s">
        <v>274</v>
      </c>
      <c r="I203" s="19" t="s">
        <v>32</v>
      </c>
      <c r="J203" s="19"/>
      <c r="K203" s="153"/>
      <c r="L203" s="61" t="s">
        <v>529</v>
      </c>
      <c r="M203" s="123" t="s">
        <v>36</v>
      </c>
      <c r="N203" s="20"/>
      <c r="O203" s="21"/>
      <c r="P203" s="21"/>
      <c r="Q203" s="21"/>
      <c r="R203" s="21"/>
      <c r="S203" s="21"/>
      <c r="T203" s="21"/>
      <c r="U203" s="20" t="s">
        <v>435</v>
      </c>
      <c r="V203" s="22"/>
      <c r="W203" s="23"/>
      <c r="X203" s="24"/>
      <c r="Y203" s="76" t="s">
        <v>39</v>
      </c>
      <c r="Z203" s="76"/>
      <c r="AA203" s="162" t="s">
        <v>635</v>
      </c>
    </row>
    <row r="204" spans="1:27" ht="15" customHeight="1">
      <c r="A204" s="35" t="s">
        <v>636</v>
      </c>
      <c r="B204" s="27"/>
      <c r="C204" s="123" t="s">
        <v>433</v>
      </c>
      <c r="D204" s="17" t="str" cm="1">
        <f t="array" ref="D204">_xlfn.TEXTJOIN(", ", TRUE(), _xlfn._xlws.FILTER(Speakers_in_Recordings!$B$2:$B$1502,Speakers_in_Recordings!$A$2:$A$1502=Rcrdngs[[#This Row],[Text]],"[no speaker selected in Speakers_in_Recordings]"))</f>
        <v>RSD_JOR_2024_Speaker2</v>
      </c>
      <c r="E204" s="17" t="str" cm="1">
        <f t="array" ref="E204">_xlfn.TEXTJOIN(", ", TRUE(), _xlfn._xlws.FILTER(Sbcts_Rcrdngs[Subject],Sbcts_Rcrdngs[Recording]=Rcrdngs[[#This Row],[Text]],"[no subject selected in Subjects_in_Recordings]"))</f>
        <v>[no subject selected in Subjects_in_Recordings]</v>
      </c>
      <c r="F204" s="18">
        <v>45408</v>
      </c>
      <c r="G204" s="134" t="s">
        <v>562</v>
      </c>
      <c r="H204" s="19" t="s">
        <v>274</v>
      </c>
      <c r="I204" s="19" t="s">
        <v>32</v>
      </c>
      <c r="J204" s="19"/>
      <c r="K204" s="153"/>
      <c r="L204" s="61" t="s">
        <v>529</v>
      </c>
      <c r="M204" s="123" t="s">
        <v>36</v>
      </c>
      <c r="N204" s="20"/>
      <c r="O204" s="21"/>
      <c r="P204" s="21"/>
      <c r="Q204" s="21"/>
      <c r="R204" s="21"/>
      <c r="S204" s="21"/>
      <c r="T204" s="21"/>
      <c r="U204" s="20" t="s">
        <v>435</v>
      </c>
      <c r="V204" s="22"/>
      <c r="W204" s="23"/>
      <c r="X204" s="24"/>
      <c r="Y204" s="76" t="s">
        <v>39</v>
      </c>
      <c r="Z204" s="76"/>
      <c r="AA204" s="162" t="s">
        <v>637</v>
      </c>
    </row>
    <row r="205" spans="1:27" ht="15" customHeight="1">
      <c r="A205" s="35"/>
      <c r="B205" s="27"/>
      <c r="C205" s="45"/>
      <c r="D205" s="17" t="str" cm="1">
        <f t="array" ref="D205">_xlfn.TEXTJOIN(", ", TRUE(), _xlfn._xlws.FILTER(Speakers_in_Recordings!$B$2:$B$1502,Speakers_in_Recordings!$A$2:$A$1502=Rcrdngs[[#This Row],[Text]],"[no speaker selected in Speakers_in_Recordings]"))</f>
        <v/>
      </c>
      <c r="E205" s="17" t="str" cm="1">
        <f t="array" ref="E205">_xlfn.TEXTJOIN(", ", TRUE(), _xlfn._xlws.FILTER(Sbcts_Rcrdngs[Subject],Sbcts_Rcrdngs[Recording]=Rcrdngs[[#This Row],[Text]],"[no subject selected in Subjects_in_Recordings]"))</f>
        <v/>
      </c>
      <c r="F205" s="18"/>
      <c r="G205" s="19"/>
      <c r="H205" s="19"/>
      <c r="I205" s="19"/>
      <c r="J205" s="19"/>
      <c r="K205" s="153"/>
      <c r="L205" s="61"/>
      <c r="M205" s="20"/>
      <c r="N205" s="20"/>
      <c r="O205" s="21"/>
      <c r="P205" s="21"/>
      <c r="Q205" s="21"/>
      <c r="R205" s="21"/>
      <c r="S205" s="21"/>
      <c r="T205" s="21"/>
      <c r="U205" s="20"/>
      <c r="V205" s="22"/>
      <c r="W205" s="23"/>
      <c r="X205" s="24"/>
      <c r="Y205" s="76"/>
      <c r="Z205" s="76"/>
      <c r="AA205" s="162"/>
    </row>
    <row r="206" spans="1:27" ht="15" customHeight="1">
      <c r="A206" s="35" t="s">
        <v>638</v>
      </c>
      <c r="B206" s="145" t="s">
        <v>639</v>
      </c>
      <c r="C206" s="123" t="s">
        <v>433</v>
      </c>
      <c r="D206" s="17" t="str" cm="1">
        <f t="array" ref="D206">_xlfn.TEXTJOIN(", ", TRUE(), _xlfn._xlws.FILTER(Speakers_in_Recordings!$B$2:$B$1502,Speakers_in_Recordings!$A$2:$A$1502=Rcrdngs[[#This Row],[Text]],"[no speaker selected in Speakers_in_Recordings]"))</f>
        <v>HWETAT_JOR_2024_Speaker1, RSD_JOR_2024_SXR_1, RSD_JOR_2024_Rebecca, RSD_JOR_2024_SXR_2</v>
      </c>
      <c r="E206" s="17" t="str" cm="1">
        <f t="array" ref="E206">_xlfn.TEXTJOIN(", ", TRUE(), _xlfn._xlws.FILTER(Sbcts_Rcrdngs[Subject],Sbcts_Rcrdngs[Recording]=Rcrdngs[[#This Row],[Text]],"[no subject selected in Subjects_in_Recordings]"))</f>
        <v>[no subject selected in Subjects_in_Recordings]</v>
      </c>
      <c r="F206" s="18">
        <v>45409</v>
      </c>
      <c r="G206" s="134" t="s">
        <v>640</v>
      </c>
      <c r="H206" s="19" t="s">
        <v>274</v>
      </c>
      <c r="I206" s="19" t="s">
        <v>32</v>
      </c>
      <c r="J206" s="19"/>
      <c r="K206" s="153"/>
      <c r="L206" s="61" t="s">
        <v>529</v>
      </c>
      <c r="M206" s="20" t="s">
        <v>36</v>
      </c>
      <c r="N206" s="20"/>
      <c r="O206" s="21"/>
      <c r="P206" s="21"/>
      <c r="Q206" s="21"/>
      <c r="R206" s="21"/>
      <c r="S206" s="21"/>
      <c r="T206" s="21"/>
      <c r="U206" s="20" t="s">
        <v>520</v>
      </c>
      <c r="V206" s="22"/>
      <c r="W206" s="23"/>
      <c r="X206" s="24"/>
      <c r="Y206" s="76" t="s">
        <v>39</v>
      </c>
      <c r="Z206" s="76"/>
      <c r="AA206" s="162" t="s">
        <v>641</v>
      </c>
    </row>
    <row r="207" spans="1:27" ht="15" customHeight="1">
      <c r="A207" s="35" t="s">
        <v>639</v>
      </c>
      <c r="B207" s="27"/>
      <c r="C207" s="123" t="s">
        <v>433</v>
      </c>
      <c r="D207" s="17" t="str" cm="1">
        <f t="array" ref="D207">_xlfn.TEXTJOIN(", ", TRUE(), _xlfn._xlws.FILTER(Speakers_in_Recordings!$B$2:$B$1502,Speakers_in_Recordings!$A$2:$A$1502=Rcrdngs[[#This Row],[Text]],"[no speaker selected in Speakers_in_Recordings]"))</f>
        <v>HWETAT_JOR_2024_Speaker1, RSD_JOR_2024_SXR_1, RSD_JOR_2024_Rebecca, RSD_JOR_2024_SXR_2</v>
      </c>
      <c r="E207" s="17" t="str" cm="1">
        <f t="array" ref="E207">_xlfn.TEXTJOIN(", ", TRUE(), _xlfn._xlws.FILTER(Sbcts_Rcrdngs[Subject],Sbcts_Rcrdngs[Recording]=Rcrdngs[[#This Row],[Text]],"[no subject selected in Subjects_in_Recordings]"))</f>
        <v>[no subject selected in Subjects_in_Recordings]</v>
      </c>
      <c r="F207" s="18">
        <v>45409</v>
      </c>
      <c r="G207" s="134" t="s">
        <v>642</v>
      </c>
      <c r="H207" s="19" t="s">
        <v>274</v>
      </c>
      <c r="I207" s="19" t="s">
        <v>32</v>
      </c>
      <c r="J207" s="19"/>
      <c r="K207" s="153"/>
      <c r="L207" s="61" t="s">
        <v>529</v>
      </c>
      <c r="M207" s="20" t="s">
        <v>36</v>
      </c>
      <c r="N207" s="20"/>
      <c r="O207" s="21"/>
      <c r="P207" s="21"/>
      <c r="Q207" s="21"/>
      <c r="R207" s="21"/>
      <c r="S207" s="21"/>
      <c r="T207" s="21"/>
      <c r="U207" s="20" t="s">
        <v>520</v>
      </c>
      <c r="V207" s="22"/>
      <c r="W207" s="23"/>
      <c r="X207" s="24"/>
      <c r="Y207" s="76" t="s">
        <v>39</v>
      </c>
      <c r="Z207" s="76"/>
      <c r="AA207" s="162" t="s">
        <v>643</v>
      </c>
    </row>
    <row r="208" spans="1:27" ht="15" customHeight="1">
      <c r="A208" s="35" t="s">
        <v>644</v>
      </c>
      <c r="B208" s="27" t="s">
        <v>645</v>
      </c>
      <c r="C208" s="123" t="s">
        <v>433</v>
      </c>
      <c r="D208" s="17" t="str" cm="1">
        <f t="array" ref="D208">_xlfn.TEXTJOIN(", ", TRUE(), _xlfn._xlws.FILTER(Speakers_in_Recordings!$B$2:$B$1502,Speakers_in_Recordings!$A$2:$A$1502=Rcrdngs[[#This Row],[Text]],"[no speaker selected in Speakers_in_Recordings]"))</f>
        <v>HWETAT_JOR_2024_Speaker1, RSD_JOR_2024_SXR_1, RSD_JOR_2024_Rebecca, RSD_JOR_2024_SXR_2</v>
      </c>
      <c r="E208" s="17" t="str" cm="1">
        <f t="array" ref="E208">_xlfn.TEXTJOIN(", ", TRUE(), _xlfn._xlws.FILTER(Sbcts_Rcrdngs[Subject],Sbcts_Rcrdngs[Recording]=Rcrdngs[[#This Row],[Text]],"[no subject selected in Subjects_in_Recordings]"))</f>
        <v>[no subject selected in Subjects_in_Recordings]</v>
      </c>
      <c r="F208" s="18">
        <v>45409</v>
      </c>
      <c r="G208" s="134" t="s">
        <v>646</v>
      </c>
      <c r="H208" s="19" t="s">
        <v>274</v>
      </c>
      <c r="I208" s="19" t="s">
        <v>32</v>
      </c>
      <c r="J208" s="19"/>
      <c r="K208" s="153"/>
      <c r="L208" s="61" t="s">
        <v>529</v>
      </c>
      <c r="M208" s="20" t="s">
        <v>36</v>
      </c>
      <c r="N208" s="20"/>
      <c r="O208" s="21"/>
      <c r="P208" s="21"/>
      <c r="Q208" s="21"/>
      <c r="R208" s="21"/>
      <c r="S208" s="21"/>
      <c r="T208" s="21"/>
      <c r="U208" s="20" t="s">
        <v>520</v>
      </c>
      <c r="V208" s="22"/>
      <c r="W208" s="23"/>
      <c r="X208" s="24"/>
      <c r="Y208" s="76" t="s">
        <v>173</v>
      </c>
      <c r="Z208" s="76"/>
      <c r="AA208" s="162" t="s">
        <v>647</v>
      </c>
    </row>
    <row r="209" spans="1:27" ht="15" customHeight="1">
      <c r="A209" s="35" t="s">
        <v>645</v>
      </c>
      <c r="B209" s="27"/>
      <c r="C209" s="123" t="s">
        <v>433</v>
      </c>
      <c r="D209" s="17" t="str" cm="1">
        <f t="array" ref="D209">_xlfn.TEXTJOIN(", ", TRUE(), _xlfn._xlws.FILTER(Speakers_in_Recordings!$B$2:$B$1502,Speakers_in_Recordings!$A$2:$A$1502=Rcrdngs[[#This Row],[Text]],"[no speaker selected in Speakers_in_Recordings]"))</f>
        <v>HWETAT_JOR_2024_Speaker1, RSD_JOR_2024_SXR_1, RSD_JOR_2024_Rebecca, RSD_JOR_2024_SXR_2</v>
      </c>
      <c r="E209" s="17" t="str" cm="1">
        <f t="array" ref="E209">_xlfn.TEXTJOIN(", ", TRUE(), _xlfn._xlws.FILTER(Sbcts_Rcrdngs[Subject],Sbcts_Rcrdngs[Recording]=Rcrdngs[[#This Row],[Text]],"[no subject selected in Subjects_in_Recordings]"))</f>
        <v>[no subject selected in Subjects_in_Recordings]</v>
      </c>
      <c r="F209" s="18">
        <v>45409</v>
      </c>
      <c r="G209" s="134" t="s">
        <v>648</v>
      </c>
      <c r="H209" s="19" t="s">
        <v>274</v>
      </c>
      <c r="I209" s="19" t="s">
        <v>32</v>
      </c>
      <c r="J209" s="19"/>
      <c r="K209" s="153"/>
      <c r="L209" s="61" t="s">
        <v>529</v>
      </c>
      <c r="M209" s="20" t="s">
        <v>36</v>
      </c>
      <c r="N209" s="20"/>
      <c r="O209" s="21"/>
      <c r="P209" s="21"/>
      <c r="Q209" s="21"/>
      <c r="R209" s="21"/>
      <c r="S209" s="21"/>
      <c r="T209" s="21"/>
      <c r="U209" s="20" t="s">
        <v>520</v>
      </c>
      <c r="V209" s="22"/>
      <c r="W209" s="23"/>
      <c r="X209" s="24"/>
      <c r="Y209" s="76" t="s">
        <v>173</v>
      </c>
      <c r="Z209" s="76"/>
      <c r="AA209" s="162" t="s">
        <v>649</v>
      </c>
    </row>
    <row r="210" spans="1:27" ht="15" customHeight="1">
      <c r="A210" s="35" t="s">
        <v>650</v>
      </c>
      <c r="B210" s="27"/>
      <c r="C210" s="123" t="s">
        <v>433</v>
      </c>
      <c r="D210" s="17" t="str" cm="1">
        <f t="array" ref="D210">_xlfn.TEXTJOIN(", ", TRUE(), _xlfn._xlws.FILTER(Speakers_in_Recordings!$B$2:$B$1502,Speakers_in_Recordings!$A$2:$A$1502=Rcrdngs[[#This Row],[Text]],"[no speaker selected in Speakers_in_Recordings]"))</f>
        <v>HWETAT_JOR_2024_Speaker1, RSD_JOR_2024_SXR_1, RSD_JOR_2024_Rebecca, RSD_JOR_2024_SXR_2</v>
      </c>
      <c r="E210" s="17" t="str" cm="1">
        <f t="array" ref="E210">_xlfn.TEXTJOIN(", ", TRUE(), _xlfn._xlws.FILTER(Sbcts_Rcrdngs[Subject],Sbcts_Rcrdngs[Recording]=Rcrdngs[[#This Row],[Text]],"[no subject selected in Subjects_in_Recordings]"))</f>
        <v>[no subject selected in Subjects_in_Recordings]</v>
      </c>
      <c r="F210" s="18">
        <v>45409</v>
      </c>
      <c r="G210" s="134" t="s">
        <v>52</v>
      </c>
      <c r="H210" s="19" t="s">
        <v>274</v>
      </c>
      <c r="I210" s="19" t="s">
        <v>32</v>
      </c>
      <c r="J210" s="19"/>
      <c r="K210" s="153"/>
      <c r="L210" s="61" t="s">
        <v>529</v>
      </c>
      <c r="M210" s="20" t="s">
        <v>36</v>
      </c>
      <c r="N210" s="20"/>
      <c r="O210" s="21"/>
      <c r="P210" s="21"/>
      <c r="Q210" s="21"/>
      <c r="R210" s="21"/>
      <c r="S210" s="21"/>
      <c r="T210" s="21"/>
      <c r="U210" s="20" t="s">
        <v>520</v>
      </c>
      <c r="V210" s="22"/>
      <c r="W210" s="23"/>
      <c r="X210" s="24"/>
      <c r="Y210" s="76" t="s">
        <v>39</v>
      </c>
      <c r="Z210" s="76"/>
      <c r="AA210" s="162" t="s">
        <v>651</v>
      </c>
    </row>
    <row r="211" spans="1:27" ht="15" customHeight="1">
      <c r="A211" s="35" t="s">
        <v>652</v>
      </c>
      <c r="B211" s="27" t="s">
        <v>653</v>
      </c>
      <c r="C211" s="123" t="s">
        <v>433</v>
      </c>
      <c r="D211" s="17" t="str" cm="1">
        <f t="array" ref="D211">_xlfn.TEXTJOIN(", ", TRUE(), _xlfn._xlws.FILTER(Speakers_in_Recordings!$B$2:$B$1502,Speakers_in_Recordings!$A$2:$A$1502=Rcrdngs[[#This Row],[Text]],"[no speaker selected in Speakers_in_Recordings]"))</f>
        <v>HWETAT_JOR_2024_Speaker2, RSD_JOR_2024_Rebecca</v>
      </c>
      <c r="E211" s="17" t="str" cm="1">
        <f t="array" ref="E211">_xlfn.TEXTJOIN(", ", TRUE(), _xlfn._xlws.FILTER(Sbcts_Rcrdngs[Subject],Sbcts_Rcrdngs[Recording]=Rcrdngs[[#This Row],[Text]],"[no subject selected in Subjects_in_Recordings]"))</f>
        <v>[no subject selected in Subjects_in_Recordings]</v>
      </c>
      <c r="F211" s="18">
        <v>45409</v>
      </c>
      <c r="G211" s="134" t="s">
        <v>654</v>
      </c>
      <c r="H211" s="19" t="s">
        <v>274</v>
      </c>
      <c r="I211" s="19" t="s">
        <v>32</v>
      </c>
      <c r="J211" s="19"/>
      <c r="K211" s="153"/>
      <c r="L211" s="61" t="s">
        <v>529</v>
      </c>
      <c r="M211" s="20" t="s">
        <v>36</v>
      </c>
      <c r="N211" s="20"/>
      <c r="O211" s="21"/>
      <c r="P211" s="21"/>
      <c r="Q211" s="21"/>
      <c r="R211" s="21"/>
      <c r="S211" s="21"/>
      <c r="T211" s="21"/>
      <c r="U211" s="20" t="s">
        <v>520</v>
      </c>
      <c r="V211" s="22"/>
      <c r="W211" s="23"/>
      <c r="X211" s="24"/>
      <c r="Y211" s="76" t="s">
        <v>39</v>
      </c>
      <c r="Z211" s="76"/>
      <c r="AA211" s="162" t="s">
        <v>655</v>
      </c>
    </row>
    <row r="212" spans="1:27" ht="15" customHeight="1">
      <c r="A212" s="35" t="s">
        <v>653</v>
      </c>
      <c r="B212" s="27"/>
      <c r="C212" s="123" t="s">
        <v>433</v>
      </c>
      <c r="D212" s="17" t="str" cm="1">
        <f t="array" ref="D212">_xlfn.TEXTJOIN(", ", TRUE(), _xlfn._xlws.FILTER(Speakers_in_Recordings!$B$2:$B$1502,Speakers_in_Recordings!$A$2:$A$1502=Rcrdngs[[#This Row],[Text]],"[no speaker selected in Speakers_in_Recordings]"))</f>
        <v>HWETAT_JOR_2024_Speaker2, RSD_JOR_2024_Rebecca</v>
      </c>
      <c r="E212" s="17" t="str" cm="1">
        <f t="array" ref="E212">_xlfn.TEXTJOIN(", ", TRUE(), _xlfn._xlws.FILTER(Sbcts_Rcrdngs[Subject],Sbcts_Rcrdngs[Recording]=Rcrdngs[[#This Row],[Text]],"[no subject selected in Subjects_in_Recordings]"))</f>
        <v>[no subject selected in Subjects_in_Recordings]</v>
      </c>
      <c r="F212" s="18">
        <v>45409</v>
      </c>
      <c r="G212" s="134" t="s">
        <v>656</v>
      </c>
      <c r="H212" s="19" t="s">
        <v>274</v>
      </c>
      <c r="I212" s="19" t="s">
        <v>32</v>
      </c>
      <c r="J212" s="19"/>
      <c r="K212" s="153"/>
      <c r="L212" s="61" t="s">
        <v>529</v>
      </c>
      <c r="M212" s="20" t="s">
        <v>36</v>
      </c>
      <c r="N212" s="20"/>
      <c r="O212" s="21"/>
      <c r="P212" s="21"/>
      <c r="Q212" s="21"/>
      <c r="R212" s="21"/>
      <c r="S212" s="21"/>
      <c r="T212" s="21"/>
      <c r="U212" s="20" t="s">
        <v>520</v>
      </c>
      <c r="V212" s="22"/>
      <c r="W212" s="23"/>
      <c r="X212" s="24"/>
      <c r="Y212" s="76" t="s">
        <v>39</v>
      </c>
      <c r="Z212" s="76"/>
      <c r="AA212" s="162" t="s">
        <v>657</v>
      </c>
    </row>
    <row r="213" spans="1:27" ht="15" customHeight="1">
      <c r="A213" s="35" t="s">
        <v>658</v>
      </c>
      <c r="B213" s="27" t="s">
        <v>659</v>
      </c>
      <c r="C213" s="123" t="s">
        <v>433</v>
      </c>
      <c r="D213" s="17" t="str" cm="1">
        <f t="array" ref="D213">_xlfn.TEXTJOIN(", ", TRUE(), _xlfn._xlws.FILTER(Speakers_in_Recordings!$B$2:$B$1502,Speakers_in_Recordings!$A$2:$A$1502=Rcrdngs[[#This Row],[Text]],"[no speaker selected in Speakers_in_Recordings]"))</f>
        <v>HWETAT_JOR_2024_Speaker2, RSD_JOR_2024_Rebecca</v>
      </c>
      <c r="E213" s="17" t="str" cm="1">
        <f t="array" ref="E213">_xlfn.TEXTJOIN(", ", TRUE(), _xlfn._xlws.FILTER(Sbcts_Rcrdngs[Subject],Sbcts_Rcrdngs[Recording]=Rcrdngs[[#This Row],[Text]],"[no subject selected in Subjects_in_Recordings]"))</f>
        <v>[no subject selected in Subjects_in_Recordings]</v>
      </c>
      <c r="F213" s="18">
        <v>45410</v>
      </c>
      <c r="G213" s="134" t="s">
        <v>224</v>
      </c>
      <c r="H213" s="19" t="s">
        <v>274</v>
      </c>
      <c r="I213" s="19" t="s">
        <v>32</v>
      </c>
      <c r="J213" s="19"/>
      <c r="K213" s="153"/>
      <c r="L213" s="61" t="s">
        <v>529</v>
      </c>
      <c r="M213" s="20" t="s">
        <v>36</v>
      </c>
      <c r="N213" s="20"/>
      <c r="O213" s="21"/>
      <c r="P213" s="21"/>
      <c r="Q213" s="21"/>
      <c r="R213" s="21"/>
      <c r="S213" s="21"/>
      <c r="T213" s="21"/>
      <c r="U213" s="20" t="s">
        <v>520</v>
      </c>
      <c r="V213" s="22"/>
      <c r="W213" s="23"/>
      <c r="X213" s="24"/>
      <c r="Y213" s="76" t="s">
        <v>39</v>
      </c>
      <c r="Z213" s="76"/>
      <c r="AA213" s="162" t="s">
        <v>660</v>
      </c>
    </row>
    <row r="214" spans="1:27" ht="15" customHeight="1">
      <c r="A214" s="35" t="s">
        <v>659</v>
      </c>
      <c r="B214" s="27" t="s">
        <v>661</v>
      </c>
      <c r="C214" s="123" t="s">
        <v>433</v>
      </c>
      <c r="D214" s="17" t="str" cm="1">
        <f t="array" ref="D214">_xlfn.TEXTJOIN(", ", TRUE(), _xlfn._xlws.FILTER(Speakers_in_Recordings!$B$2:$B$1502,Speakers_in_Recordings!$A$2:$A$1502=Rcrdngs[[#This Row],[Text]],"[no speaker selected in Speakers_in_Recordings]"))</f>
        <v>HWETAT_JOR_2024_Speaker2, RSD_JOR_2024_Rebecca</v>
      </c>
      <c r="E214" s="17" t="str" cm="1">
        <f t="array" ref="E214">_xlfn.TEXTJOIN(", ", TRUE(), _xlfn._xlws.FILTER(Sbcts_Rcrdngs[Subject],Sbcts_Rcrdngs[Recording]=Rcrdngs[[#This Row],[Text]],"[no subject selected in Subjects_in_Recordings]"))</f>
        <v>[no subject selected in Subjects_in_Recordings]</v>
      </c>
      <c r="F214" s="18">
        <v>45410</v>
      </c>
      <c r="G214" s="134" t="s">
        <v>642</v>
      </c>
      <c r="H214" s="19" t="s">
        <v>274</v>
      </c>
      <c r="I214" s="19" t="s">
        <v>32</v>
      </c>
      <c r="J214" s="19"/>
      <c r="K214" s="153"/>
      <c r="L214" s="61" t="s">
        <v>529</v>
      </c>
      <c r="M214" s="20" t="s">
        <v>36</v>
      </c>
      <c r="N214" s="20"/>
      <c r="O214" s="21"/>
      <c r="P214" s="21"/>
      <c r="Q214" s="21"/>
      <c r="R214" s="21"/>
      <c r="S214" s="21"/>
      <c r="T214" s="21"/>
      <c r="U214" s="20" t="s">
        <v>520</v>
      </c>
      <c r="V214" s="22"/>
      <c r="W214" s="23"/>
      <c r="X214" s="24"/>
      <c r="Y214" s="76" t="s">
        <v>39</v>
      </c>
      <c r="Z214" s="76"/>
      <c r="AA214" s="162" t="s">
        <v>662</v>
      </c>
    </row>
    <row r="215" spans="1:27" ht="15" customHeight="1">
      <c r="A215" s="35" t="s">
        <v>661</v>
      </c>
      <c r="B215" s="27"/>
      <c r="C215" s="123" t="s">
        <v>433</v>
      </c>
      <c r="D215" s="17" t="str" cm="1">
        <f t="array" ref="D215">_xlfn.TEXTJOIN(", ", TRUE(), _xlfn._xlws.FILTER(Speakers_in_Recordings!$B$2:$B$1502,Speakers_in_Recordings!$A$2:$A$1502=Rcrdngs[[#This Row],[Text]],"[no speaker selected in Speakers_in_Recordings]"))</f>
        <v>HWETAT_JOR_2024_Speaker2, RSD_JOR_2024_Rebecca</v>
      </c>
      <c r="E215" s="17" t="str" cm="1">
        <f t="array" ref="E215">_xlfn.TEXTJOIN(", ", TRUE(), _xlfn._xlws.FILTER(Sbcts_Rcrdngs[Subject],Sbcts_Rcrdngs[Recording]=Rcrdngs[[#This Row],[Text]],"[no subject selected in Subjects_in_Recordings]"))</f>
        <v>[no subject selected in Subjects_in_Recordings]</v>
      </c>
      <c r="F215" s="18">
        <v>45410</v>
      </c>
      <c r="G215" s="134" t="s">
        <v>663</v>
      </c>
      <c r="H215" s="19" t="s">
        <v>274</v>
      </c>
      <c r="I215" s="19" t="s">
        <v>32</v>
      </c>
      <c r="J215" s="19"/>
      <c r="K215" s="153"/>
      <c r="L215" s="61" t="s">
        <v>529</v>
      </c>
      <c r="M215" s="20" t="s">
        <v>36</v>
      </c>
      <c r="N215" s="20"/>
      <c r="O215" s="21"/>
      <c r="P215" s="21"/>
      <c r="Q215" s="21"/>
      <c r="R215" s="21"/>
      <c r="S215" s="21"/>
      <c r="T215" s="21"/>
      <c r="U215" s="20" t="s">
        <v>520</v>
      </c>
      <c r="V215" s="22"/>
      <c r="W215" s="23"/>
      <c r="X215" s="24"/>
      <c r="Y215" s="76" t="s">
        <v>39</v>
      </c>
      <c r="Z215" s="76"/>
      <c r="AA215" s="162" t="s">
        <v>664</v>
      </c>
    </row>
    <row r="216" spans="1:27" ht="15" customHeight="1">
      <c r="A216" s="35" t="s">
        <v>665</v>
      </c>
      <c r="B216" s="27" t="s">
        <v>666</v>
      </c>
      <c r="C216" s="123" t="s">
        <v>433</v>
      </c>
      <c r="D216" s="17" t="str" cm="1">
        <f t="array" ref="D216">_xlfn.TEXTJOIN(", ", TRUE(), _xlfn._xlws.FILTER(Speakers_in_Recordings!$B$2:$B$1502,Speakers_in_Recordings!$A$2:$A$1502=Rcrdngs[[#This Row],[Text]],"[no speaker selected in Speakers_in_Recordings]"))</f>
        <v>HWETAT_JOR_2024_Speaker4</v>
      </c>
      <c r="E216" s="17" t="str" cm="1">
        <f t="array" ref="E216">_xlfn.TEXTJOIN(", ", TRUE(), _xlfn._xlws.FILTER(Sbcts_Rcrdngs[Subject],Sbcts_Rcrdngs[Recording]=Rcrdngs[[#This Row],[Text]],"[no subject selected in Subjects_in_Recordings]"))</f>
        <v>[no subject selected in Subjects_in_Recordings]</v>
      </c>
      <c r="F216" s="18">
        <v>45414</v>
      </c>
      <c r="G216" s="134" t="s">
        <v>667</v>
      </c>
      <c r="H216" s="19" t="s">
        <v>274</v>
      </c>
      <c r="I216" s="19" t="s">
        <v>32</v>
      </c>
      <c r="J216" s="19"/>
      <c r="K216" s="153"/>
      <c r="L216" s="61" t="s">
        <v>529</v>
      </c>
      <c r="M216" s="20" t="s">
        <v>36</v>
      </c>
      <c r="N216" s="20"/>
      <c r="O216" s="21"/>
      <c r="P216" s="21"/>
      <c r="Q216" s="21"/>
      <c r="R216" s="21"/>
      <c r="S216" s="21"/>
      <c r="T216" s="21"/>
      <c r="U216" s="20"/>
      <c r="V216" s="22"/>
      <c r="W216" s="23" t="s">
        <v>668</v>
      </c>
      <c r="X216" s="24"/>
      <c r="Y216" s="76" t="s">
        <v>39</v>
      </c>
      <c r="Z216" s="76"/>
      <c r="AA216" s="162" t="s">
        <v>669</v>
      </c>
    </row>
    <row r="217" spans="1:27" ht="15" customHeight="1">
      <c r="A217" s="35" t="s">
        <v>666</v>
      </c>
      <c r="B217" s="27" t="s">
        <v>670</v>
      </c>
      <c r="C217" s="123" t="s">
        <v>433</v>
      </c>
      <c r="D217" s="17" t="str" cm="1">
        <f t="array" ref="D217">_xlfn.TEXTJOIN(", ", TRUE(), _xlfn._xlws.FILTER(Speakers_in_Recordings!$B$2:$B$1502,Speakers_in_Recordings!$A$2:$A$1502=Rcrdngs[[#This Row],[Text]],"[no speaker selected in Speakers_in_Recordings]"))</f>
        <v>HWETAT_JOR_2024_Speaker4</v>
      </c>
      <c r="E217" s="17" t="str" cm="1">
        <f t="array" ref="E217">_xlfn.TEXTJOIN(", ", TRUE(), _xlfn._xlws.FILTER(Sbcts_Rcrdngs[Subject],Sbcts_Rcrdngs[Recording]=Rcrdngs[[#This Row],[Text]],"[no subject selected in Subjects_in_Recordings]"))</f>
        <v>[no subject selected in Subjects_in_Recordings]</v>
      </c>
      <c r="F217" s="18">
        <v>45414</v>
      </c>
      <c r="G217" s="134" t="s">
        <v>671</v>
      </c>
      <c r="H217" s="19" t="s">
        <v>274</v>
      </c>
      <c r="I217" s="19" t="s">
        <v>32</v>
      </c>
      <c r="J217" s="19"/>
      <c r="K217" s="153"/>
      <c r="L217" s="61" t="s">
        <v>529</v>
      </c>
      <c r="M217" s="20" t="s">
        <v>36</v>
      </c>
      <c r="N217" s="20"/>
      <c r="O217" s="21"/>
      <c r="P217" s="21"/>
      <c r="Q217" s="21"/>
      <c r="R217" s="21"/>
      <c r="S217" s="21"/>
      <c r="T217" s="21"/>
      <c r="U217" s="20"/>
      <c r="V217" s="22"/>
      <c r="W217" s="23"/>
      <c r="X217" s="24"/>
      <c r="Y217" s="76" t="s">
        <v>39</v>
      </c>
      <c r="Z217" s="76"/>
      <c r="AA217" s="162" t="s">
        <v>672</v>
      </c>
    </row>
    <row r="218" spans="1:27" ht="15" customHeight="1">
      <c r="A218" s="35" t="s">
        <v>670</v>
      </c>
      <c r="B218" s="27" t="s">
        <v>673</v>
      </c>
      <c r="C218" s="123" t="s">
        <v>433</v>
      </c>
      <c r="D218" s="17" t="str" cm="1">
        <f t="array" ref="D218">_xlfn.TEXTJOIN(", ", TRUE(), _xlfn._xlws.FILTER(Speakers_in_Recordings!$B$2:$B$1502,Speakers_in_Recordings!$A$2:$A$1502=Rcrdngs[[#This Row],[Text]],"[no speaker selected in Speakers_in_Recordings]"))</f>
        <v>HWETAT_JOR_2024_Speaker4</v>
      </c>
      <c r="E218" s="17" t="str" cm="1">
        <f t="array" ref="E218">_xlfn.TEXTJOIN(", ", TRUE(), _xlfn._xlws.FILTER(Sbcts_Rcrdngs[Subject],Sbcts_Rcrdngs[Recording]=Rcrdngs[[#This Row],[Text]],"[no subject selected in Subjects_in_Recordings]"))</f>
        <v>[no subject selected in Subjects_in_Recordings]</v>
      </c>
      <c r="F218" s="18">
        <v>45414</v>
      </c>
      <c r="G218" s="134" t="s">
        <v>674</v>
      </c>
      <c r="H218" s="19" t="s">
        <v>274</v>
      </c>
      <c r="I218" s="19" t="s">
        <v>32</v>
      </c>
      <c r="J218" s="19"/>
      <c r="K218" s="153"/>
      <c r="L218" s="61" t="s">
        <v>529</v>
      </c>
      <c r="M218" s="20" t="s">
        <v>36</v>
      </c>
      <c r="N218" s="20"/>
      <c r="O218" s="21"/>
      <c r="P218" s="21"/>
      <c r="Q218" s="21"/>
      <c r="R218" s="21"/>
      <c r="S218" s="21"/>
      <c r="T218" s="21"/>
      <c r="U218" s="20"/>
      <c r="V218" s="22"/>
      <c r="W218" s="23"/>
      <c r="X218" s="24"/>
      <c r="Y218" s="76" t="s">
        <v>39</v>
      </c>
      <c r="Z218" s="76"/>
      <c r="AA218" s="162" t="s">
        <v>675</v>
      </c>
    </row>
    <row r="219" spans="1:27" ht="15" customHeight="1">
      <c r="A219" s="35" t="s">
        <v>673</v>
      </c>
      <c r="B219" s="27" t="s">
        <v>676</v>
      </c>
      <c r="C219" s="123" t="s">
        <v>433</v>
      </c>
      <c r="D219" s="17" t="str" cm="1">
        <f t="array" ref="D219">_xlfn.TEXTJOIN(", ", TRUE(), _xlfn._xlws.FILTER(Speakers_in_Recordings!$B$2:$B$1502,Speakers_in_Recordings!$A$2:$A$1502=Rcrdngs[[#This Row],[Text]],"[no speaker selected in Speakers_in_Recordings]"))</f>
        <v>HWETAT_JOR_2024_Speaker4</v>
      </c>
      <c r="E219" s="17" t="str" cm="1">
        <f t="array" ref="E219">_xlfn.TEXTJOIN(", ", TRUE(), _xlfn._xlws.FILTER(Sbcts_Rcrdngs[Subject],Sbcts_Rcrdngs[Recording]=Rcrdngs[[#This Row],[Text]],"[no subject selected in Subjects_in_Recordings]"))</f>
        <v>[no subject selected in Subjects_in_Recordings]</v>
      </c>
      <c r="F219" s="18">
        <v>45414</v>
      </c>
      <c r="G219" s="134" t="s">
        <v>677</v>
      </c>
      <c r="H219" s="19" t="s">
        <v>274</v>
      </c>
      <c r="I219" s="19" t="s">
        <v>32</v>
      </c>
      <c r="J219" s="19"/>
      <c r="K219" s="153"/>
      <c r="L219" s="61" t="s">
        <v>529</v>
      </c>
      <c r="M219" s="20" t="s">
        <v>36</v>
      </c>
      <c r="N219" s="20"/>
      <c r="O219" s="21"/>
      <c r="P219" s="21"/>
      <c r="Q219" s="21"/>
      <c r="R219" s="21"/>
      <c r="S219" s="21"/>
      <c r="T219" s="21"/>
      <c r="U219" s="20"/>
      <c r="V219" s="22"/>
      <c r="W219" s="23"/>
      <c r="X219" s="24"/>
      <c r="Y219" s="76" t="s">
        <v>39</v>
      </c>
      <c r="Z219" s="76"/>
      <c r="AA219" s="162" t="s">
        <v>678</v>
      </c>
    </row>
    <row r="220" spans="1:27" ht="15" customHeight="1">
      <c r="A220" s="35" t="s">
        <v>676</v>
      </c>
      <c r="B220" s="27" t="s">
        <v>679</v>
      </c>
      <c r="C220" s="123" t="s">
        <v>433</v>
      </c>
      <c r="D220" s="17" t="str" cm="1">
        <f t="array" ref="D220">_xlfn.TEXTJOIN(", ", TRUE(), _xlfn._xlws.FILTER(Speakers_in_Recordings!$B$2:$B$1502,Speakers_in_Recordings!$A$2:$A$1502=Rcrdngs[[#This Row],[Text]],"[no speaker selected in Speakers_in_Recordings]"))</f>
        <v>HWETAT_JOR_2024_Speaker4</v>
      </c>
      <c r="E220" s="17" t="str" cm="1">
        <f t="array" ref="E220">_xlfn.TEXTJOIN(", ", TRUE(), _xlfn._xlws.FILTER(Sbcts_Rcrdngs[Subject],Sbcts_Rcrdngs[Recording]=Rcrdngs[[#This Row],[Text]],"[no subject selected in Subjects_in_Recordings]"))</f>
        <v>[no subject selected in Subjects_in_Recordings]</v>
      </c>
      <c r="F220" s="18">
        <v>45414</v>
      </c>
      <c r="G220" s="134" t="s">
        <v>680</v>
      </c>
      <c r="H220" s="19" t="s">
        <v>274</v>
      </c>
      <c r="I220" s="19" t="s">
        <v>32</v>
      </c>
      <c r="J220" s="19"/>
      <c r="K220" s="153"/>
      <c r="L220" s="61" t="s">
        <v>529</v>
      </c>
      <c r="M220" s="20" t="s">
        <v>36</v>
      </c>
      <c r="N220" s="20"/>
      <c r="O220" s="21"/>
      <c r="P220" s="21"/>
      <c r="Q220" s="21"/>
      <c r="R220" s="21"/>
      <c r="S220" s="21"/>
      <c r="T220" s="21"/>
      <c r="U220" s="20"/>
      <c r="V220" s="22"/>
      <c r="W220" s="23"/>
      <c r="X220" s="24"/>
      <c r="Y220" s="76" t="s">
        <v>39</v>
      </c>
      <c r="Z220" s="76"/>
      <c r="AA220" s="162" t="s">
        <v>681</v>
      </c>
    </row>
    <row r="221" spans="1:27" ht="15" customHeight="1">
      <c r="A221" s="169" t="s">
        <v>679</v>
      </c>
      <c r="B221" s="27"/>
      <c r="C221" s="123" t="s">
        <v>433</v>
      </c>
      <c r="D221" s="17" t="str" cm="1">
        <f t="array" ref="D221">_xlfn.TEXTJOIN(", ", TRUE(), _xlfn._xlws.FILTER(Speakers_in_Recordings!$B$2:$B$1502,Speakers_in_Recordings!$A$2:$A$1502=Rcrdngs[[#This Row],[Text]],"[no speaker selected in Speakers_in_Recordings]"))</f>
        <v>HWETAT_JOR_2024_Speaker4</v>
      </c>
      <c r="E221" s="17" t="str" cm="1">
        <f t="array" ref="E221">_xlfn.TEXTJOIN(", ", TRUE(), _xlfn._xlws.FILTER(Sbcts_Rcrdngs[Subject],Sbcts_Rcrdngs[Recording]=Rcrdngs[[#This Row],[Text]],"[no subject selected in Subjects_in_Recordings]"))</f>
        <v>[no subject selected in Subjects_in_Recordings]</v>
      </c>
      <c r="F221" s="18">
        <v>45414</v>
      </c>
      <c r="G221" s="134" t="s">
        <v>682</v>
      </c>
      <c r="H221" s="19" t="s">
        <v>274</v>
      </c>
      <c r="I221" s="19" t="s">
        <v>32</v>
      </c>
      <c r="J221" s="19"/>
      <c r="K221" s="153"/>
      <c r="L221" s="61" t="s">
        <v>529</v>
      </c>
      <c r="M221" s="20" t="s">
        <v>36</v>
      </c>
      <c r="N221" s="20"/>
      <c r="O221" s="21"/>
      <c r="P221" s="21"/>
      <c r="Q221" s="21"/>
      <c r="R221" s="21"/>
      <c r="S221" s="21"/>
      <c r="T221" s="21"/>
      <c r="U221" s="20"/>
      <c r="V221" s="22"/>
      <c r="W221" s="23"/>
      <c r="X221" s="24"/>
      <c r="Y221" s="76" t="s">
        <v>39</v>
      </c>
      <c r="Z221" s="76"/>
      <c r="AA221" s="162" t="s">
        <v>683</v>
      </c>
    </row>
    <row r="222" spans="1:27" ht="15" customHeight="1">
      <c r="A222" s="35" t="s">
        <v>684</v>
      </c>
      <c r="B222" s="27"/>
      <c r="C222" s="123" t="s">
        <v>433</v>
      </c>
      <c r="D222" s="17" t="str" cm="1">
        <f t="array" ref="D222">_xlfn.TEXTJOIN(", ", TRUE(), _xlfn._xlws.FILTER(Speakers_in_Recordings!$B$2:$B$1502,Speakers_in_Recordings!$A$2:$A$1502=Rcrdngs[[#This Row],[Text]],"[no speaker selected in Speakers_in_Recordings]"))</f>
        <v>HWETAT_JOR_2024_Speaker4</v>
      </c>
      <c r="E222" s="17" t="str" cm="1">
        <f t="array" ref="E222">_xlfn.TEXTJOIN(", ", TRUE(), _xlfn._xlws.FILTER(Sbcts_Rcrdngs[Subject],Sbcts_Rcrdngs[Recording]=Rcrdngs[[#This Row],[Text]],"[no subject selected in Subjects_in_Recordings]"))</f>
        <v>[no subject selected in Subjects_in_Recordings]</v>
      </c>
      <c r="F222" s="18">
        <v>45415</v>
      </c>
      <c r="G222" s="134" t="s">
        <v>685</v>
      </c>
      <c r="H222" s="19" t="s">
        <v>274</v>
      </c>
      <c r="I222" s="19" t="s">
        <v>32</v>
      </c>
      <c r="J222" s="19"/>
      <c r="K222" s="153"/>
      <c r="L222" s="61" t="s">
        <v>529</v>
      </c>
      <c r="M222" s="20" t="s">
        <v>36</v>
      </c>
      <c r="N222" s="20"/>
      <c r="O222" s="21"/>
      <c r="P222" s="21"/>
      <c r="Q222" s="21"/>
      <c r="R222" s="21"/>
      <c r="S222" s="21"/>
      <c r="T222" s="21"/>
      <c r="U222" s="20"/>
      <c r="V222" s="22"/>
      <c r="W222" s="23"/>
      <c r="X222" s="24"/>
      <c r="Y222" s="76" t="s">
        <v>39</v>
      </c>
      <c r="Z222" s="76"/>
      <c r="AA222" s="162" t="s">
        <v>686</v>
      </c>
    </row>
    <row r="223" spans="1:27" ht="15" customHeight="1">
      <c r="A223" s="35"/>
      <c r="B223" s="27"/>
      <c r="C223" s="45"/>
      <c r="D223" s="17" t="str" cm="1">
        <f t="array" ref="D223">_xlfn.TEXTJOIN(", ", TRUE(), _xlfn._xlws.FILTER(Speakers_in_Recordings!$B$2:$B$1502,Speakers_in_Recordings!$A$2:$A$1502=Rcrdngs[[#This Row],[Text]],"[no speaker selected in Speakers_in_Recordings]"))</f>
        <v/>
      </c>
      <c r="E223" s="17" t="str" cm="1">
        <f t="array" ref="E223">_xlfn.TEXTJOIN(", ", TRUE(), _xlfn._xlws.FILTER(Sbcts_Rcrdngs[Subject],Sbcts_Rcrdngs[Recording]=Rcrdngs[[#This Row],[Text]],"[no subject selected in Subjects_in_Recordings]"))</f>
        <v/>
      </c>
      <c r="F223" s="18"/>
      <c r="G223" s="19"/>
      <c r="H223" s="19"/>
      <c r="I223" s="19"/>
      <c r="J223" s="19"/>
      <c r="K223" s="153"/>
      <c r="L223" s="61"/>
      <c r="M223" s="20"/>
      <c r="N223" s="20"/>
      <c r="O223" s="21"/>
      <c r="P223" s="21"/>
      <c r="Q223" s="21"/>
      <c r="R223" s="21"/>
      <c r="S223" s="21"/>
      <c r="T223" s="21"/>
      <c r="U223" s="20"/>
      <c r="V223" s="22"/>
      <c r="W223" s="23"/>
      <c r="X223" s="24"/>
      <c r="Y223" s="76"/>
      <c r="Z223" s="76"/>
      <c r="AA223" s="162"/>
    </row>
    <row r="224" spans="1:27" ht="15" customHeight="1">
      <c r="A224" s="35" t="s">
        <v>687</v>
      </c>
      <c r="B224" s="27"/>
      <c r="C224" s="45" t="s">
        <v>688</v>
      </c>
      <c r="D224" s="17" t="str" cm="1">
        <f t="array" ref="D224">_xlfn.TEXTJOIN(", ", TRUE(), _xlfn._xlws.FILTER(Speakers_in_Recordings!$B$2:$B$1502,Speakers_in_Recordings!$A$2:$A$1502=Rcrdngs[[#This Row],[Text]],"[no speaker selected in Speakers_in_Recordings]"))</f>
        <v>SAU_2025_Speaker1, SAU_2025_Speaker2, SAU_2025_Speaker3</v>
      </c>
      <c r="E224" s="17" t="str" cm="1">
        <f t="array" ref="E224">_xlfn.TEXTJOIN(", ", TRUE(), _xlfn._xlws.FILTER(Sbcts_Rcrdngs[Subject],Sbcts_Rcrdngs[Recording]=Rcrdngs[[#This Row],[Text]],"[no subject selected in Subjects_in_Recordings]"))</f>
        <v>[no subject selected in Subjects_in_Recordings]</v>
      </c>
      <c r="F224" s="18">
        <v>45691</v>
      </c>
      <c r="G224" s="134" t="s">
        <v>689</v>
      </c>
      <c r="H224" s="19" t="s">
        <v>274</v>
      </c>
      <c r="I224" s="19" t="s">
        <v>46</v>
      </c>
      <c r="J224" s="19"/>
      <c r="K224" s="153"/>
      <c r="L224" s="61" t="s">
        <v>529</v>
      </c>
      <c r="M224" s="20" t="s">
        <v>36</v>
      </c>
      <c r="N224" s="20"/>
      <c r="O224" s="21"/>
      <c r="P224" s="21"/>
      <c r="Q224" s="21"/>
      <c r="R224" s="21"/>
      <c r="S224" s="21"/>
      <c r="T224" s="21"/>
      <c r="U224" s="20" t="s">
        <v>690</v>
      </c>
      <c r="V224" s="22"/>
      <c r="W224" s="23"/>
      <c r="X224" s="24"/>
      <c r="Y224" s="76" t="s">
        <v>39</v>
      </c>
      <c r="Z224" s="76"/>
      <c r="AA224" s="162" t="s">
        <v>691</v>
      </c>
    </row>
    <row r="225" spans="1:27" ht="15" customHeight="1">
      <c r="A225" s="35" t="s">
        <v>692</v>
      </c>
      <c r="B225" s="27"/>
      <c r="C225" s="45" t="s">
        <v>688</v>
      </c>
      <c r="D225" s="17" t="str" cm="1">
        <f t="array" ref="D225">_xlfn.TEXTJOIN(", ", TRUE(), _xlfn._xlws.FILTER(Speakers_in_Recordings!$B$2:$B$1502,Speakers_in_Recordings!$A$2:$A$1502=Rcrdngs[[#This Row],[Text]],"[no speaker selected in Speakers_in_Recordings]"))</f>
        <v>SAU_2025_Speaker1, SAU_2025_Speaker2, SAU_2025_Speaker3</v>
      </c>
      <c r="E225" s="17" t="str" cm="1">
        <f t="array" ref="E225">_xlfn.TEXTJOIN(", ", TRUE(), _xlfn._xlws.FILTER(Sbcts_Rcrdngs[Subject],Sbcts_Rcrdngs[Recording]=Rcrdngs[[#This Row],[Text]],"[no subject selected in Subjects_in_Recordings]"))</f>
        <v>[no subject selected in Subjects_in_Recordings]</v>
      </c>
      <c r="F225" s="18">
        <v>45691</v>
      </c>
      <c r="G225" s="134" t="s">
        <v>693</v>
      </c>
      <c r="H225" s="19" t="s">
        <v>274</v>
      </c>
      <c r="I225" s="19" t="s">
        <v>32</v>
      </c>
      <c r="J225" s="19"/>
      <c r="K225" s="153"/>
      <c r="L225" s="61" t="s">
        <v>529</v>
      </c>
      <c r="M225" s="20" t="s">
        <v>36</v>
      </c>
      <c r="N225" s="20"/>
      <c r="O225" s="21"/>
      <c r="P225" s="21"/>
      <c r="Q225" s="21"/>
      <c r="R225" s="21"/>
      <c r="S225" s="21"/>
      <c r="T225" s="21"/>
      <c r="U225" s="20" t="s">
        <v>690</v>
      </c>
      <c r="V225" s="22"/>
      <c r="W225" s="23"/>
      <c r="X225" s="24"/>
      <c r="Y225" s="76" t="s">
        <v>39</v>
      </c>
      <c r="Z225" s="76"/>
      <c r="AA225" s="162" t="s">
        <v>694</v>
      </c>
    </row>
    <row r="226" spans="1:27" ht="15" customHeight="1">
      <c r="A226" s="35" t="s">
        <v>695</v>
      </c>
      <c r="B226" s="27"/>
      <c r="C226" s="45" t="s">
        <v>688</v>
      </c>
      <c r="D226" s="17" t="str" cm="1">
        <f t="array" ref="D226">_xlfn.TEXTJOIN(", ", TRUE(), _xlfn._xlws.FILTER(Speakers_in_Recordings!$B$2:$B$1502,Speakers_in_Recordings!$A$2:$A$1502=Rcrdngs[[#This Row],[Text]],"[no speaker selected in Speakers_in_Recordings]"))</f>
        <v>SAU_2025_Speaker1, SAU_2025_Speaker2, SAU_2025_Speaker3</v>
      </c>
      <c r="E226" s="17" t="str" cm="1">
        <f t="array" ref="E226">_xlfn.TEXTJOIN(", ", TRUE(), _xlfn._xlws.FILTER(Sbcts_Rcrdngs[Subject],Sbcts_Rcrdngs[Recording]=Rcrdngs[[#This Row],[Text]],"[no subject selected in Subjects_in_Recordings]"))</f>
        <v>[no subject selected in Subjects_in_Recordings]</v>
      </c>
      <c r="F226" s="18">
        <v>45691</v>
      </c>
      <c r="G226" s="134" t="s">
        <v>696</v>
      </c>
      <c r="H226" s="19" t="s">
        <v>274</v>
      </c>
      <c r="I226" s="19" t="s">
        <v>46</v>
      </c>
      <c r="J226" s="19"/>
      <c r="K226" s="153"/>
      <c r="L226" s="61" t="s">
        <v>529</v>
      </c>
      <c r="M226" s="20" t="s">
        <v>36</v>
      </c>
      <c r="N226" s="20"/>
      <c r="O226" s="21"/>
      <c r="P226" s="21"/>
      <c r="Q226" s="21"/>
      <c r="R226" s="21"/>
      <c r="S226" s="21"/>
      <c r="T226" s="21"/>
      <c r="U226" s="20" t="s">
        <v>690</v>
      </c>
      <c r="V226" s="22"/>
      <c r="W226" s="23"/>
      <c r="X226" s="24"/>
      <c r="Y226" s="76" t="s">
        <v>173</v>
      </c>
      <c r="Z226" s="76"/>
      <c r="AA226" s="162" t="s">
        <v>697</v>
      </c>
    </row>
    <row r="227" spans="1:27" ht="15" customHeight="1">
      <c r="A227" s="35" t="s">
        <v>698</v>
      </c>
      <c r="B227" s="35" t="s">
        <v>699</v>
      </c>
      <c r="C227" s="45" t="s">
        <v>688</v>
      </c>
      <c r="D227" s="17" t="str" cm="1">
        <f t="array" ref="D227">_xlfn.TEXTJOIN(", ", TRUE(), _xlfn._xlws.FILTER(Speakers_in_Recordings!$B$2:$B$1502,Speakers_in_Recordings!$A$2:$A$1502=Rcrdngs[[#This Row],[Text]],"[no speaker selected in Speakers_in_Recordings]"))</f>
        <v>SAU_2025_Speaker1, SAU_2025_Speaker2, SAU_2025_Speaker3</v>
      </c>
      <c r="E227" s="17" t="str" cm="1">
        <f t="array" ref="E227">_xlfn.TEXTJOIN(", ", TRUE(), _xlfn._xlws.FILTER(Sbcts_Rcrdngs[Subject],Sbcts_Rcrdngs[Recording]=Rcrdngs[[#This Row],[Text]],"[no subject selected in Subjects_in_Recordings]"))</f>
        <v>[no subject selected in Subjects_in_Recordings]</v>
      </c>
      <c r="F227" s="18">
        <v>45696</v>
      </c>
      <c r="G227" s="134" t="s">
        <v>700</v>
      </c>
      <c r="H227" s="19" t="s">
        <v>274</v>
      </c>
      <c r="I227" s="19" t="s">
        <v>46</v>
      </c>
      <c r="J227" s="19"/>
      <c r="K227" s="153"/>
      <c r="L227" s="61" t="s">
        <v>529</v>
      </c>
      <c r="M227" s="20" t="s">
        <v>36</v>
      </c>
      <c r="N227" s="20"/>
      <c r="O227" s="21"/>
      <c r="P227" s="21"/>
      <c r="Q227" s="21"/>
      <c r="R227" s="21"/>
      <c r="S227" s="21"/>
      <c r="T227" s="21"/>
      <c r="U227" s="20" t="s">
        <v>690</v>
      </c>
      <c r="V227" s="22"/>
      <c r="W227" s="23"/>
      <c r="X227" s="24"/>
      <c r="Y227" s="76" t="s">
        <v>87</v>
      </c>
      <c r="Z227" s="76"/>
      <c r="AA227" s="162" t="s">
        <v>701</v>
      </c>
    </row>
    <row r="228" spans="1:27" ht="15" customHeight="1">
      <c r="A228" s="35" t="s">
        <v>699</v>
      </c>
      <c r="B228" s="27"/>
      <c r="C228" s="45" t="s">
        <v>688</v>
      </c>
      <c r="D228" s="17" t="str" cm="1">
        <f t="array" ref="D228">_xlfn.TEXTJOIN(", ", TRUE(), _xlfn._xlws.FILTER(Speakers_in_Recordings!$B$2:$B$1502,Speakers_in_Recordings!$A$2:$A$1502=Rcrdngs[[#This Row],[Text]],"[no speaker selected in Speakers_in_Recordings]"))</f>
        <v>SAU_2025_Speaker1, SAU_2025_Speaker2, SAU_2025_Speaker3</v>
      </c>
      <c r="E228" s="17" t="str" cm="1">
        <f t="array" ref="E228">_xlfn.TEXTJOIN(", ", TRUE(), _xlfn._xlws.FILTER(Sbcts_Rcrdngs[Subject],Sbcts_Rcrdngs[Recording]=Rcrdngs[[#This Row],[Text]],"[no subject selected in Subjects_in_Recordings]"))</f>
        <v>[no subject selected in Subjects_in_Recordings]</v>
      </c>
      <c r="F228" s="18">
        <v>45696</v>
      </c>
      <c r="G228" s="134" t="s">
        <v>702</v>
      </c>
      <c r="H228" s="19" t="s">
        <v>274</v>
      </c>
      <c r="I228" s="19" t="s">
        <v>46</v>
      </c>
      <c r="J228" s="19"/>
      <c r="K228" s="153"/>
      <c r="L228" s="61" t="s">
        <v>529</v>
      </c>
      <c r="M228" s="20" t="s">
        <v>36</v>
      </c>
      <c r="N228" s="20"/>
      <c r="O228" s="21"/>
      <c r="P228" s="21"/>
      <c r="Q228" s="21"/>
      <c r="R228" s="21"/>
      <c r="S228" s="21"/>
      <c r="T228" s="21"/>
      <c r="U228" s="20" t="s">
        <v>690</v>
      </c>
      <c r="V228" s="22"/>
      <c r="W228" s="23"/>
      <c r="X228" s="24"/>
      <c r="Y228" s="76" t="s">
        <v>87</v>
      </c>
      <c r="Z228" s="76"/>
      <c r="AA228" s="162" t="s">
        <v>703</v>
      </c>
    </row>
    <row r="229" spans="1:27" ht="15" customHeight="1">
      <c r="A229" s="35" t="s">
        <v>704</v>
      </c>
      <c r="B229" s="35" t="s">
        <v>705</v>
      </c>
      <c r="C229" s="45" t="s">
        <v>688</v>
      </c>
      <c r="D229" s="17" t="str" cm="1">
        <f t="array" ref="D229">_xlfn.TEXTJOIN(", ", TRUE(), _xlfn._xlws.FILTER(Speakers_in_Recordings!$B$2:$B$1502,Speakers_in_Recordings!$A$2:$A$1502=Rcrdngs[[#This Row],[Text]],"[no speaker selected in Speakers_in_Recordings]"))</f>
        <v>SAU_2025_Speaker7, SAU_2025_Speaker6, SAU_2025_Speaker21</v>
      </c>
      <c r="E229" s="17" t="str" cm="1">
        <f t="array" ref="E229">_xlfn.TEXTJOIN(", ", TRUE(), _xlfn._xlws.FILTER(Sbcts_Rcrdngs[Subject],Sbcts_Rcrdngs[Recording]=Rcrdngs[[#This Row],[Text]],"[no subject selected in Subjects_in_Recordings]"))</f>
        <v>[no subject selected in Subjects_in_Recordings]</v>
      </c>
      <c r="F229" s="18">
        <v>45701</v>
      </c>
      <c r="G229" s="134" t="s">
        <v>600</v>
      </c>
      <c r="H229" s="19" t="s">
        <v>274</v>
      </c>
      <c r="I229" s="19" t="s">
        <v>46</v>
      </c>
      <c r="J229" s="19"/>
      <c r="K229" s="153"/>
      <c r="L229" s="61" t="s">
        <v>529</v>
      </c>
      <c r="M229" s="20" t="s">
        <v>36</v>
      </c>
      <c r="N229" s="20"/>
      <c r="O229" s="21"/>
      <c r="P229" s="21"/>
      <c r="Q229" s="21"/>
      <c r="R229" s="21"/>
      <c r="S229" s="21"/>
      <c r="T229" s="21"/>
      <c r="U229" s="20" t="s">
        <v>62</v>
      </c>
      <c r="V229" s="22"/>
      <c r="W229" s="23"/>
      <c r="X229" s="24"/>
      <c r="Y229" s="76" t="s">
        <v>39</v>
      </c>
      <c r="Z229" s="76"/>
      <c r="AA229" s="162" t="s">
        <v>706</v>
      </c>
    </row>
    <row r="230" spans="1:27" ht="15" customHeight="1">
      <c r="A230" s="35" t="s">
        <v>705</v>
      </c>
      <c r="B230" s="35" t="s">
        <v>707</v>
      </c>
      <c r="C230" s="45" t="s">
        <v>688</v>
      </c>
      <c r="D230" s="17" t="str" cm="1">
        <f t="array" ref="D230">_xlfn.TEXTJOIN(", ", TRUE(), _xlfn._xlws.FILTER(Speakers_in_Recordings!$B$2:$B$1502,Speakers_in_Recordings!$A$2:$A$1502=Rcrdngs[[#This Row],[Text]],"[no speaker selected in Speakers_in_Recordings]"))</f>
        <v>SAU_2025_Speaker7, SAU_2025_Speaker6, SAU_2025_Speaker21</v>
      </c>
      <c r="E230" s="17" t="str" cm="1">
        <f t="array" ref="E230">_xlfn.TEXTJOIN(", ", TRUE(), _xlfn._xlws.FILTER(Sbcts_Rcrdngs[Subject],Sbcts_Rcrdngs[Recording]=Rcrdngs[[#This Row],[Text]],"[no subject selected in Subjects_in_Recordings]"))</f>
        <v>[no subject selected in Subjects_in_Recordings]</v>
      </c>
      <c r="F230" s="18">
        <v>45701</v>
      </c>
      <c r="G230" s="134" t="s">
        <v>708</v>
      </c>
      <c r="H230" s="19" t="s">
        <v>274</v>
      </c>
      <c r="I230" s="19" t="s">
        <v>46</v>
      </c>
      <c r="J230" s="19"/>
      <c r="K230" s="153"/>
      <c r="L230" s="61" t="s">
        <v>529</v>
      </c>
      <c r="M230" s="20" t="s">
        <v>36</v>
      </c>
      <c r="N230" s="20"/>
      <c r="O230" s="21"/>
      <c r="P230" s="21"/>
      <c r="Q230" s="21"/>
      <c r="R230" s="21"/>
      <c r="S230" s="21"/>
      <c r="T230" s="21"/>
      <c r="U230" s="20" t="s">
        <v>62</v>
      </c>
      <c r="V230" s="22"/>
      <c r="W230" s="23"/>
      <c r="X230" s="24"/>
      <c r="Y230" s="76" t="s">
        <v>39</v>
      </c>
      <c r="Z230" s="76"/>
      <c r="AA230" s="162" t="s">
        <v>709</v>
      </c>
    </row>
    <row r="231" spans="1:27" ht="15" customHeight="1">
      <c r="A231" s="35" t="s">
        <v>707</v>
      </c>
      <c r="B231" s="35" t="s">
        <v>710</v>
      </c>
      <c r="C231" s="45" t="s">
        <v>688</v>
      </c>
      <c r="D231" s="17" t="str" cm="1">
        <f t="array" ref="D231">_xlfn.TEXTJOIN(", ", TRUE(), _xlfn._xlws.FILTER(Speakers_in_Recordings!$B$2:$B$1502,Speakers_in_Recordings!$A$2:$A$1502=Rcrdngs[[#This Row],[Text]],"[no speaker selected in Speakers_in_Recordings]"))</f>
        <v>SAU_2025_Speaker7, SAU_2025_Speaker6, SAU_2025_Speaker21</v>
      </c>
      <c r="E231" s="17" t="str" cm="1">
        <f t="array" ref="E231">_xlfn.TEXTJOIN(", ", TRUE(), _xlfn._xlws.FILTER(Sbcts_Rcrdngs[Subject],Sbcts_Rcrdngs[Recording]=Rcrdngs[[#This Row],[Text]],"[no subject selected in Subjects_in_Recordings]"))</f>
        <v>[no subject selected in Subjects_in_Recordings]</v>
      </c>
      <c r="F231" s="18">
        <v>45701</v>
      </c>
      <c r="G231" s="134" t="s">
        <v>711</v>
      </c>
      <c r="H231" s="19" t="s">
        <v>274</v>
      </c>
      <c r="I231" s="19" t="s">
        <v>46</v>
      </c>
      <c r="J231" s="19"/>
      <c r="K231" s="153"/>
      <c r="L231" s="61" t="s">
        <v>529</v>
      </c>
      <c r="M231" s="20" t="s">
        <v>36</v>
      </c>
      <c r="N231" s="20"/>
      <c r="O231" s="21"/>
      <c r="P231" s="21"/>
      <c r="Q231" s="21"/>
      <c r="R231" s="21"/>
      <c r="S231" s="21"/>
      <c r="T231" s="21"/>
      <c r="U231" s="20" t="s">
        <v>62</v>
      </c>
      <c r="V231" s="22"/>
      <c r="W231" s="23"/>
      <c r="X231" s="24"/>
      <c r="Y231" s="76" t="s">
        <v>39</v>
      </c>
      <c r="Z231" s="76"/>
      <c r="AA231" s="162" t="s">
        <v>712</v>
      </c>
    </row>
    <row r="232" spans="1:27" ht="15" customHeight="1">
      <c r="A232" s="35" t="s">
        <v>710</v>
      </c>
      <c r="B232" s="35"/>
      <c r="C232" s="45" t="s">
        <v>688</v>
      </c>
      <c r="D232" s="17" t="str" cm="1">
        <f t="array" ref="D232">_xlfn.TEXTJOIN(", ", TRUE(), _xlfn._xlws.FILTER(Speakers_in_Recordings!$B$2:$B$1502,Speakers_in_Recordings!$A$2:$A$1502=Rcrdngs[[#This Row],[Text]],"[no speaker selected in Speakers_in_Recordings]"))</f>
        <v>SAU_2025_Speaker7, SAU_2025_Speaker6, SAU_2025_Speaker21</v>
      </c>
      <c r="E232" s="17" t="str" cm="1">
        <f t="array" ref="E232">_xlfn.TEXTJOIN(", ", TRUE(), _xlfn._xlws.FILTER(Sbcts_Rcrdngs[Subject],Sbcts_Rcrdngs[Recording]=Rcrdngs[[#This Row],[Text]],"[no subject selected in Subjects_in_Recordings]"))</f>
        <v>[no subject selected in Subjects_in_Recordings]</v>
      </c>
      <c r="F232" s="18">
        <v>45701</v>
      </c>
      <c r="G232" s="134" t="s">
        <v>713</v>
      </c>
      <c r="H232" s="19" t="s">
        <v>274</v>
      </c>
      <c r="I232" s="19" t="s">
        <v>46</v>
      </c>
      <c r="J232" s="19"/>
      <c r="K232" s="153"/>
      <c r="L232" s="61" t="s">
        <v>529</v>
      </c>
      <c r="M232" s="20" t="s">
        <v>36</v>
      </c>
      <c r="N232" s="20"/>
      <c r="O232" s="21"/>
      <c r="P232" s="21"/>
      <c r="Q232" s="21"/>
      <c r="R232" s="21"/>
      <c r="S232" s="21"/>
      <c r="T232" s="21"/>
      <c r="U232" s="20" t="s">
        <v>62</v>
      </c>
      <c r="V232" s="22"/>
      <c r="W232" s="23"/>
      <c r="X232" s="24"/>
      <c r="Y232" s="76" t="s">
        <v>39</v>
      </c>
      <c r="Z232" s="76"/>
      <c r="AA232" s="162" t="s">
        <v>714</v>
      </c>
    </row>
    <row r="233" spans="1:27" ht="15" customHeight="1">
      <c r="A233" s="35" t="s">
        <v>715</v>
      </c>
      <c r="B233" s="35" t="s">
        <v>716</v>
      </c>
      <c r="C233" s="45" t="s">
        <v>688</v>
      </c>
      <c r="D233" s="17" t="str" cm="1">
        <f t="array" ref="D233">_xlfn.TEXTJOIN(", ", TRUE(), _xlfn._xlws.FILTER(Speakers_in_Recordings!$B$2:$B$1502,Speakers_in_Recordings!$A$2:$A$1502=Rcrdngs[[#This Row],[Text]],"[no speaker selected in Speakers_in_Recordings]"))</f>
        <v>SAU_2025_Speaker7, SAU_2025_Speaker6, SAU_2025_Speaker9</v>
      </c>
      <c r="E233" s="17" t="str" cm="1">
        <f t="array" ref="E233">_xlfn.TEXTJOIN(", ", TRUE(), _xlfn._xlws.FILTER(Sbcts_Rcrdngs[Subject],Sbcts_Rcrdngs[Recording]=Rcrdngs[[#This Row],[Text]],"[no subject selected in Subjects_in_Recordings]"))</f>
        <v>[no subject selected in Subjects_in_Recordings]</v>
      </c>
      <c r="F233" s="18">
        <v>45698</v>
      </c>
      <c r="G233" s="134" t="s">
        <v>717</v>
      </c>
      <c r="H233" s="19" t="s">
        <v>274</v>
      </c>
      <c r="I233" s="19" t="s">
        <v>32</v>
      </c>
      <c r="J233" s="19"/>
      <c r="K233" s="153"/>
      <c r="L233" s="61" t="s">
        <v>529</v>
      </c>
      <c r="M233" s="20" t="s">
        <v>36</v>
      </c>
      <c r="N233" s="20"/>
      <c r="O233" s="21"/>
      <c r="P233" s="21"/>
      <c r="Q233" s="21"/>
      <c r="R233" s="21"/>
      <c r="S233" s="21"/>
      <c r="T233" s="21"/>
      <c r="U233" s="20" t="s">
        <v>37</v>
      </c>
      <c r="V233" s="22"/>
      <c r="W233" s="23"/>
      <c r="X233" s="24"/>
      <c r="Y233" s="76" t="s">
        <v>39</v>
      </c>
      <c r="Z233" s="76"/>
      <c r="AA233" s="162" t="s">
        <v>718</v>
      </c>
    </row>
    <row r="234" spans="1:27" ht="15" customHeight="1">
      <c r="A234" s="35" t="s">
        <v>716</v>
      </c>
      <c r="B234" s="27"/>
      <c r="C234" s="45" t="s">
        <v>688</v>
      </c>
      <c r="D234" s="17" t="str" cm="1">
        <f t="array" ref="D234">_xlfn.TEXTJOIN(", ", TRUE(), _xlfn._xlws.FILTER(Speakers_in_Recordings!$B$2:$B$1502,Speakers_in_Recordings!$A$2:$A$1502=Rcrdngs[[#This Row],[Text]],"[no speaker selected in Speakers_in_Recordings]"))</f>
        <v>SAU_2025_Speaker7, SAU_2025_Speaker6, SAU_2025_Speaker9</v>
      </c>
      <c r="E234" s="17" t="str" cm="1">
        <f t="array" ref="E234">_xlfn.TEXTJOIN(", ", TRUE(), _xlfn._xlws.FILTER(Sbcts_Rcrdngs[Subject],Sbcts_Rcrdngs[Recording]=Rcrdngs[[#This Row],[Text]],"[no subject selected in Subjects_in_Recordings]"))</f>
        <v>[no subject selected in Subjects_in_Recordings]</v>
      </c>
      <c r="F234" s="18">
        <v>45698</v>
      </c>
      <c r="G234" s="134" t="s">
        <v>719</v>
      </c>
      <c r="H234" s="19" t="s">
        <v>274</v>
      </c>
      <c r="I234" s="19" t="s">
        <v>32</v>
      </c>
      <c r="J234" s="19"/>
      <c r="K234" s="153"/>
      <c r="L234" s="61" t="s">
        <v>529</v>
      </c>
      <c r="M234" s="20" t="s">
        <v>36</v>
      </c>
      <c r="N234" s="20"/>
      <c r="O234" s="21"/>
      <c r="P234" s="21"/>
      <c r="Q234" s="21"/>
      <c r="R234" s="21"/>
      <c r="S234" s="21"/>
      <c r="T234" s="21"/>
      <c r="U234" s="20" t="s">
        <v>37</v>
      </c>
      <c r="V234" s="22"/>
      <c r="W234" s="23"/>
      <c r="X234" s="24"/>
      <c r="Y234" s="76" t="s">
        <v>39</v>
      </c>
      <c r="Z234" s="76"/>
      <c r="AA234" s="162" t="s">
        <v>720</v>
      </c>
    </row>
    <row r="235" spans="1:27" ht="15" customHeight="1">
      <c r="A235" s="35" t="s">
        <v>721</v>
      </c>
      <c r="B235" s="35" t="s">
        <v>722</v>
      </c>
      <c r="C235" s="45" t="s">
        <v>688</v>
      </c>
      <c r="D235" s="17" t="str" cm="1">
        <f t="array" ref="D235">_xlfn.TEXTJOIN(", ", TRUE(), _xlfn._xlws.FILTER(Speakers_in_Recordings!$B$2:$B$1502,Speakers_in_Recordings!$A$2:$A$1502=Rcrdngs[[#This Row],[Text]],"[no speaker selected in Speakers_in_Recordings]"))</f>
        <v>SAU_2025_Speaker6, SAU_2025_Speaker12</v>
      </c>
      <c r="E235" s="17" t="str" cm="1">
        <f t="array" ref="E235">_xlfn.TEXTJOIN(", ", TRUE(), _xlfn._xlws.FILTER(Sbcts_Rcrdngs[Subject],Sbcts_Rcrdngs[Recording]=Rcrdngs[[#This Row],[Text]],"[no subject selected in Subjects_in_Recordings]"))</f>
        <v>[no subject selected in Subjects_in_Recordings]</v>
      </c>
      <c r="F235" s="18">
        <v>45698</v>
      </c>
      <c r="G235" s="134" t="s">
        <v>723</v>
      </c>
      <c r="H235" s="19" t="s">
        <v>274</v>
      </c>
      <c r="I235" s="19" t="s">
        <v>32</v>
      </c>
      <c r="J235" s="19"/>
      <c r="K235" s="153"/>
      <c r="L235" s="61" t="s">
        <v>529</v>
      </c>
      <c r="M235" s="20" t="s">
        <v>36</v>
      </c>
      <c r="N235" s="20"/>
      <c r="O235" s="21"/>
      <c r="P235" s="21"/>
      <c r="Q235" s="21"/>
      <c r="R235" s="21"/>
      <c r="S235" s="21"/>
      <c r="T235" s="21"/>
      <c r="U235" s="20" t="s">
        <v>37</v>
      </c>
      <c r="V235" s="22"/>
      <c r="W235" s="23"/>
      <c r="X235" s="24"/>
      <c r="Y235" s="76" t="s">
        <v>39</v>
      </c>
      <c r="Z235" s="76"/>
      <c r="AA235" s="162" t="s">
        <v>724</v>
      </c>
    </row>
    <row r="236" spans="1:27" ht="15" customHeight="1">
      <c r="A236" s="35" t="s">
        <v>722</v>
      </c>
      <c r="B236" s="35" t="s">
        <v>725</v>
      </c>
      <c r="C236" s="45" t="s">
        <v>688</v>
      </c>
      <c r="D236" s="17" t="str" cm="1">
        <f t="array" ref="D236">_xlfn.TEXTJOIN(", ", TRUE(), _xlfn._xlws.FILTER(Speakers_in_Recordings!$B$2:$B$1502,Speakers_in_Recordings!$A$2:$A$1502=Rcrdngs[[#This Row],[Text]],"[no speaker selected in Speakers_in_Recordings]"))</f>
        <v>SAU_2025_Speaker6, SAU_2025_Speaker12</v>
      </c>
      <c r="E236" s="17" t="str" cm="1">
        <f t="array" ref="E236">_xlfn.TEXTJOIN(", ", TRUE(), _xlfn._xlws.FILTER(Sbcts_Rcrdngs[Subject],Sbcts_Rcrdngs[Recording]=Rcrdngs[[#This Row],[Text]],"[no subject selected in Subjects_in_Recordings]"))</f>
        <v>[no subject selected in Subjects_in_Recordings]</v>
      </c>
      <c r="F236" s="18">
        <v>45698</v>
      </c>
      <c r="G236" s="134" t="s">
        <v>726</v>
      </c>
      <c r="H236" s="19" t="s">
        <v>274</v>
      </c>
      <c r="I236" s="19" t="s">
        <v>32</v>
      </c>
      <c r="J236" s="19"/>
      <c r="K236" s="153"/>
      <c r="L236" s="61" t="s">
        <v>529</v>
      </c>
      <c r="M236" s="20" t="s">
        <v>36</v>
      </c>
      <c r="N236" s="20"/>
      <c r="O236" s="21"/>
      <c r="P236" s="21"/>
      <c r="Q236" s="21"/>
      <c r="R236" s="21"/>
      <c r="S236" s="21"/>
      <c r="T236" s="21"/>
      <c r="U236" s="20" t="s">
        <v>37</v>
      </c>
      <c r="V236" s="22"/>
      <c r="W236" s="23"/>
      <c r="X236" s="24"/>
      <c r="Y236" s="76" t="s">
        <v>39</v>
      </c>
      <c r="Z236" s="76"/>
      <c r="AA236" s="162" t="s">
        <v>727</v>
      </c>
    </row>
    <row r="237" spans="1:27" ht="15" customHeight="1">
      <c r="A237" s="35" t="s">
        <v>725</v>
      </c>
      <c r="B237" s="35" t="s">
        <v>728</v>
      </c>
      <c r="C237" s="45" t="s">
        <v>688</v>
      </c>
      <c r="D237" s="17" t="str" cm="1">
        <f t="array" ref="D237">_xlfn.TEXTJOIN(", ", TRUE(), _xlfn._xlws.FILTER(Speakers_in_Recordings!$B$2:$B$1502,Speakers_in_Recordings!$A$2:$A$1502=Rcrdngs[[#This Row],[Text]],"[no speaker selected in Speakers_in_Recordings]"))</f>
        <v>SAU_2025_Speaker6, SAU_2025_Speaker12</v>
      </c>
      <c r="E237" s="17" t="str" cm="1">
        <f t="array" ref="E237">_xlfn.TEXTJOIN(", ", TRUE(), _xlfn._xlws.FILTER(Sbcts_Rcrdngs[Subject],Sbcts_Rcrdngs[Recording]=Rcrdngs[[#This Row],[Text]],"[no subject selected in Subjects_in_Recordings]"))</f>
        <v>[no subject selected in Subjects_in_Recordings]</v>
      </c>
      <c r="F237" s="18">
        <v>45698</v>
      </c>
      <c r="G237" s="134" t="s">
        <v>386</v>
      </c>
      <c r="H237" s="19" t="s">
        <v>274</v>
      </c>
      <c r="I237" s="19" t="s">
        <v>32</v>
      </c>
      <c r="J237" s="19"/>
      <c r="K237" s="153"/>
      <c r="L237" s="61" t="s">
        <v>529</v>
      </c>
      <c r="M237" s="20" t="s">
        <v>36</v>
      </c>
      <c r="N237" s="20"/>
      <c r="O237" s="21"/>
      <c r="P237" s="21"/>
      <c r="Q237" s="21"/>
      <c r="R237" s="21"/>
      <c r="S237" s="21"/>
      <c r="T237" s="21"/>
      <c r="U237" s="20" t="s">
        <v>37</v>
      </c>
      <c r="V237" s="22"/>
      <c r="W237" s="23"/>
      <c r="X237" s="24"/>
      <c r="Y237" s="76" t="s">
        <v>39</v>
      </c>
      <c r="Z237" s="76"/>
      <c r="AA237" s="162" t="s">
        <v>729</v>
      </c>
    </row>
    <row r="238" spans="1:27" ht="15" customHeight="1">
      <c r="A238" s="35" t="s">
        <v>728</v>
      </c>
      <c r="B238" s="35" t="s">
        <v>730</v>
      </c>
      <c r="C238" s="45" t="s">
        <v>688</v>
      </c>
      <c r="D238" s="17" t="str" cm="1">
        <f t="array" ref="D238">_xlfn.TEXTJOIN(", ", TRUE(), _xlfn._xlws.FILTER(Speakers_in_Recordings!$B$2:$B$1502,Speakers_in_Recordings!$A$2:$A$1502=Rcrdngs[[#This Row],[Text]],"[no speaker selected in Speakers_in_Recordings]"))</f>
        <v>SAU_2025_Speaker6, SAU_2025_Speaker12</v>
      </c>
      <c r="E238" s="17" t="str" cm="1">
        <f t="array" ref="E238">_xlfn.TEXTJOIN(", ", TRUE(), _xlfn._xlws.FILTER(Sbcts_Rcrdngs[Subject],Sbcts_Rcrdngs[Recording]=Rcrdngs[[#This Row],[Text]],"[no subject selected in Subjects_in_Recordings]"))</f>
        <v>[no subject selected in Subjects_in_Recordings]</v>
      </c>
      <c r="F238" s="18">
        <v>45698</v>
      </c>
      <c r="G238" s="134" t="s">
        <v>212</v>
      </c>
      <c r="H238" s="19" t="s">
        <v>274</v>
      </c>
      <c r="I238" s="19" t="s">
        <v>32</v>
      </c>
      <c r="J238" s="19"/>
      <c r="K238" s="153"/>
      <c r="L238" s="61" t="s">
        <v>529</v>
      </c>
      <c r="M238" s="20" t="s">
        <v>36</v>
      </c>
      <c r="N238" s="20"/>
      <c r="O238" s="21"/>
      <c r="P238" s="21"/>
      <c r="Q238" s="21"/>
      <c r="R238" s="21"/>
      <c r="S238" s="21"/>
      <c r="T238" s="21"/>
      <c r="U238" s="20" t="s">
        <v>37</v>
      </c>
      <c r="V238" s="22"/>
      <c r="W238" s="23"/>
      <c r="X238" s="24"/>
      <c r="Y238" s="76" t="s">
        <v>39</v>
      </c>
      <c r="Z238" s="76"/>
      <c r="AA238" s="162" t="s">
        <v>731</v>
      </c>
    </row>
    <row r="239" spans="1:27" ht="14.25" customHeight="1">
      <c r="A239" s="35" t="s">
        <v>730</v>
      </c>
      <c r="B239" s="35" t="s">
        <v>732</v>
      </c>
      <c r="C239" s="45" t="s">
        <v>688</v>
      </c>
      <c r="D239" s="17" t="str" cm="1">
        <f t="array" ref="D239">_xlfn.TEXTJOIN(", ", TRUE(), _xlfn._xlws.FILTER(Speakers_in_Recordings!$B$2:$B$1502,Speakers_in_Recordings!$A$2:$A$1502=Rcrdngs[[#This Row],[Text]],"[no speaker selected in Speakers_in_Recordings]"))</f>
        <v>SAU_2025_Speaker6, SAU_2025_Speaker12</v>
      </c>
      <c r="E239" s="17" t="str" cm="1">
        <f t="array" ref="E239">_xlfn.TEXTJOIN(", ", TRUE(), _xlfn._xlws.FILTER(Sbcts_Rcrdngs[Subject],Sbcts_Rcrdngs[Recording]=Rcrdngs[[#This Row],[Text]],"[no subject selected in Subjects_in_Recordings]"))</f>
        <v>[no subject selected in Subjects_in_Recordings]</v>
      </c>
      <c r="F239" s="18">
        <v>45698</v>
      </c>
      <c r="G239" s="134" t="s">
        <v>312</v>
      </c>
      <c r="H239" s="19" t="s">
        <v>274</v>
      </c>
      <c r="I239" s="19" t="s">
        <v>32</v>
      </c>
      <c r="J239" s="19"/>
      <c r="K239" s="153"/>
      <c r="L239" s="61" t="s">
        <v>529</v>
      </c>
      <c r="M239" s="20" t="s">
        <v>36</v>
      </c>
      <c r="N239" s="20"/>
      <c r="O239" s="21"/>
      <c r="P239" s="21"/>
      <c r="Q239" s="21"/>
      <c r="R239" s="21"/>
      <c r="S239" s="21"/>
      <c r="T239" s="21"/>
      <c r="U239" s="20" t="s">
        <v>37</v>
      </c>
      <c r="V239" s="22"/>
      <c r="W239" s="23"/>
      <c r="X239" s="24"/>
      <c r="Y239" s="76" t="s">
        <v>39</v>
      </c>
      <c r="Z239" s="76"/>
      <c r="AA239" s="162" t="s">
        <v>733</v>
      </c>
    </row>
    <row r="240" spans="1:27" ht="15" customHeight="1">
      <c r="A240" s="35" t="s">
        <v>732</v>
      </c>
      <c r="B240" s="27"/>
      <c r="C240" s="45" t="s">
        <v>688</v>
      </c>
      <c r="D240" s="17" t="str" cm="1">
        <f t="array" ref="D240">_xlfn.TEXTJOIN(", ", TRUE(), _xlfn._xlws.FILTER(Speakers_in_Recordings!$B$2:$B$1502,Speakers_in_Recordings!$A$2:$A$1502=Rcrdngs[[#This Row],[Text]],"[no speaker selected in Speakers_in_Recordings]"))</f>
        <v>SAU_2025_Speaker6, SAU_2025_Speaker12</v>
      </c>
      <c r="E240" s="17" t="str" cm="1">
        <f t="array" ref="E240">_xlfn.TEXTJOIN(", ", TRUE(), _xlfn._xlws.FILTER(Sbcts_Rcrdngs[Subject],Sbcts_Rcrdngs[Recording]=Rcrdngs[[#This Row],[Text]],"[no subject selected in Subjects_in_Recordings]"))</f>
        <v>[no subject selected in Subjects_in_Recordings]</v>
      </c>
      <c r="F240" s="18">
        <v>45698</v>
      </c>
      <c r="G240" s="134" t="s">
        <v>734</v>
      </c>
      <c r="H240" s="19" t="s">
        <v>274</v>
      </c>
      <c r="I240" s="19" t="s">
        <v>32</v>
      </c>
      <c r="J240" s="19"/>
      <c r="K240" s="153"/>
      <c r="L240" s="61" t="s">
        <v>529</v>
      </c>
      <c r="M240" s="20" t="s">
        <v>36</v>
      </c>
      <c r="N240" s="20"/>
      <c r="O240" s="21"/>
      <c r="P240" s="21"/>
      <c r="Q240" s="21"/>
      <c r="R240" s="21"/>
      <c r="S240" s="21"/>
      <c r="T240" s="21"/>
      <c r="U240" s="20" t="s">
        <v>37</v>
      </c>
      <c r="V240" s="22"/>
      <c r="W240" s="23"/>
      <c r="X240" s="24"/>
      <c r="Y240" s="76" t="s">
        <v>39</v>
      </c>
      <c r="Z240" s="76"/>
      <c r="AA240" s="162" t="s">
        <v>735</v>
      </c>
    </row>
    <row r="241" spans="1:27" ht="15" customHeight="1">
      <c r="A241" s="35" t="s">
        <v>736</v>
      </c>
      <c r="B241" s="27"/>
      <c r="C241" s="45" t="s">
        <v>688</v>
      </c>
      <c r="D241" s="17" t="str" cm="1">
        <f t="array" ref="D241">_xlfn.TEXTJOIN(", ", TRUE(), _xlfn._xlws.FILTER(Speakers_in_Recordings!$B$2:$B$1502,Speakers_in_Recordings!$A$2:$A$1502=Rcrdngs[[#This Row],[Text]],"[no speaker selected in Speakers_in_Recordings]"))</f>
        <v>SAU_2025_Speaker6, SAU_2025_Speaker14</v>
      </c>
      <c r="E241" s="17" t="str" cm="1">
        <f t="array" ref="E241">_xlfn.TEXTJOIN(", ", TRUE(), _xlfn._xlws.FILTER(Sbcts_Rcrdngs[Subject],Sbcts_Rcrdngs[Recording]=Rcrdngs[[#This Row],[Text]],"[no subject selected in Subjects_in_Recordings]"))</f>
        <v>[no subject selected in Subjects_in_Recordings]</v>
      </c>
      <c r="F241" s="18">
        <v>45699</v>
      </c>
      <c r="G241" s="134" t="s">
        <v>737</v>
      </c>
      <c r="H241" s="19" t="s">
        <v>274</v>
      </c>
      <c r="I241" s="19" t="s">
        <v>46</v>
      </c>
      <c r="J241" s="19"/>
      <c r="K241" s="153"/>
      <c r="L241" s="61" t="s">
        <v>529</v>
      </c>
      <c r="M241" s="20" t="s">
        <v>36</v>
      </c>
      <c r="N241" s="20"/>
      <c r="O241" s="21"/>
      <c r="P241" s="21"/>
      <c r="Q241" s="21"/>
      <c r="R241" s="21"/>
      <c r="S241" s="21"/>
      <c r="T241" s="21"/>
      <c r="U241" s="20" t="s">
        <v>289</v>
      </c>
      <c r="V241" s="22"/>
      <c r="W241" s="23"/>
      <c r="X241" s="24"/>
      <c r="Y241" s="76" t="s">
        <v>39</v>
      </c>
      <c r="Z241" s="76"/>
      <c r="AA241" s="162" t="s">
        <v>738</v>
      </c>
    </row>
    <row r="242" spans="1:27" ht="15" customHeight="1">
      <c r="A242" s="35" t="s">
        <v>739</v>
      </c>
      <c r="B242" s="35" t="s">
        <v>740</v>
      </c>
      <c r="C242" s="45" t="s">
        <v>688</v>
      </c>
      <c r="D242" s="17" t="str" cm="1">
        <f t="array" ref="D242">_xlfn.TEXTJOIN(", ", TRUE(), _xlfn._xlws.FILTER(Speakers_in_Recordings!$B$2:$B$1502,Speakers_in_Recordings!$A$2:$A$1502=Rcrdngs[[#This Row],[Text]],"[no speaker selected in Speakers_in_Recordings]"))</f>
        <v>SAU_2025_Speaker6, SAU_2025_Speaker7, SAU_2025_Speaker13</v>
      </c>
      <c r="E242" s="17" t="str" cm="1">
        <f t="array" ref="E242">_xlfn.TEXTJOIN(", ", TRUE(), _xlfn._xlws.FILTER(Sbcts_Rcrdngs[Subject],Sbcts_Rcrdngs[Recording]=Rcrdngs[[#This Row],[Text]],"[no subject selected in Subjects_in_Recordings]"))</f>
        <v>[no subject selected in Subjects_in_Recordings]</v>
      </c>
      <c r="F242" s="18">
        <v>45699</v>
      </c>
      <c r="G242" s="134" t="s">
        <v>741</v>
      </c>
      <c r="H242" s="19" t="s">
        <v>274</v>
      </c>
      <c r="I242" s="19" t="s">
        <v>32</v>
      </c>
      <c r="J242" s="19"/>
      <c r="K242" s="153"/>
      <c r="L242" s="61" t="s">
        <v>529</v>
      </c>
      <c r="M242" s="20" t="s">
        <v>36</v>
      </c>
      <c r="N242" s="20"/>
      <c r="O242" s="21"/>
      <c r="P242" s="21"/>
      <c r="Q242" s="21"/>
      <c r="R242" s="21"/>
      <c r="S242" s="21"/>
      <c r="T242" s="21"/>
      <c r="U242" s="20" t="s">
        <v>289</v>
      </c>
      <c r="V242" s="22"/>
      <c r="W242" s="23"/>
      <c r="X242" s="24"/>
      <c r="Y242" s="76" t="s">
        <v>39</v>
      </c>
      <c r="Z242" s="76"/>
      <c r="AA242" s="162" t="s">
        <v>742</v>
      </c>
    </row>
    <row r="243" spans="1:27" ht="15" customHeight="1">
      <c r="A243" s="35" t="s">
        <v>740</v>
      </c>
      <c r="B243" s="35" t="s">
        <v>743</v>
      </c>
      <c r="C243" s="45" t="s">
        <v>688</v>
      </c>
      <c r="D243" s="17" t="str" cm="1">
        <f t="array" ref="D243">_xlfn.TEXTJOIN(", ", TRUE(), _xlfn._xlws.FILTER(Speakers_in_Recordings!$B$2:$B$1502,Speakers_in_Recordings!$A$2:$A$1502=Rcrdngs[[#This Row],[Text]],"[no speaker selected in Speakers_in_Recordings]"))</f>
        <v>SAU_2025_Speaker6, SAU_2025_Speaker7, SAU_2025_Speaker13</v>
      </c>
      <c r="E243" s="17" t="str" cm="1">
        <f t="array" ref="E243">_xlfn.TEXTJOIN(", ", TRUE(), _xlfn._xlws.FILTER(Sbcts_Rcrdngs[Subject],Sbcts_Rcrdngs[Recording]=Rcrdngs[[#This Row],[Text]],"[no subject selected in Subjects_in_Recordings]"))</f>
        <v>[no subject selected in Subjects_in_Recordings]</v>
      </c>
      <c r="F243" s="18">
        <v>45699</v>
      </c>
      <c r="G243" s="134" t="s">
        <v>744</v>
      </c>
      <c r="H243" s="19" t="s">
        <v>274</v>
      </c>
      <c r="I243" s="19" t="s">
        <v>46</v>
      </c>
      <c r="J243" s="19"/>
      <c r="K243" s="153"/>
      <c r="L243" s="61" t="s">
        <v>529</v>
      </c>
      <c r="M243" s="20" t="s">
        <v>36</v>
      </c>
      <c r="N243" s="20"/>
      <c r="O243" s="21"/>
      <c r="P243" s="21"/>
      <c r="Q243" s="21"/>
      <c r="R243" s="21"/>
      <c r="S243" s="21"/>
      <c r="T243" s="21"/>
      <c r="U243" s="20" t="s">
        <v>289</v>
      </c>
      <c r="V243" s="22"/>
      <c r="W243" s="23"/>
      <c r="X243" s="24"/>
      <c r="Y243" s="76" t="s">
        <v>39</v>
      </c>
      <c r="Z243" s="76"/>
      <c r="AA243" s="162" t="s">
        <v>745</v>
      </c>
    </row>
    <row r="244" spans="1:27" ht="15" customHeight="1">
      <c r="A244" s="35" t="s">
        <v>743</v>
      </c>
      <c r="B244" s="35" t="s">
        <v>746</v>
      </c>
      <c r="C244" s="45" t="s">
        <v>688</v>
      </c>
      <c r="D244" s="17" t="str" cm="1">
        <f t="array" ref="D244">_xlfn.TEXTJOIN(", ", TRUE(), _xlfn._xlws.FILTER(Speakers_in_Recordings!$B$2:$B$1502,Speakers_in_Recordings!$A$2:$A$1502=Rcrdngs[[#This Row],[Text]],"[no speaker selected in Speakers_in_Recordings]"))</f>
        <v>SAU_2025_Speaker13, SAU_2025_Speaker6, SAU_2025_Speaker7, SAU_2025_Rebecca</v>
      </c>
      <c r="E244" s="17" t="str" cm="1">
        <f t="array" ref="E244">_xlfn.TEXTJOIN(", ", TRUE(), _xlfn._xlws.FILTER(Sbcts_Rcrdngs[Subject],Sbcts_Rcrdngs[Recording]=Rcrdngs[[#This Row],[Text]],"[no subject selected in Subjects_in_Recordings]"))</f>
        <v>Herding</v>
      </c>
      <c r="F244" s="18">
        <v>45699</v>
      </c>
      <c r="G244" s="134" t="s">
        <v>747</v>
      </c>
      <c r="H244" s="19" t="s">
        <v>31</v>
      </c>
      <c r="I244" s="19" t="s">
        <v>46</v>
      </c>
      <c r="J244" s="178" t="s">
        <v>32</v>
      </c>
      <c r="K244" s="153" t="s">
        <v>33</v>
      </c>
      <c r="L244" s="61" t="s">
        <v>34</v>
      </c>
      <c r="M244" s="20" t="s">
        <v>36</v>
      </c>
      <c r="N244" s="20" t="s">
        <v>36</v>
      </c>
      <c r="O244" s="21"/>
      <c r="P244" s="21"/>
      <c r="Q244" s="21"/>
      <c r="R244" s="21"/>
      <c r="S244" s="21"/>
      <c r="T244" s="21"/>
      <c r="U244" s="20" t="s">
        <v>289</v>
      </c>
      <c r="V244" s="22"/>
      <c r="W244" s="23"/>
      <c r="X244" s="24"/>
      <c r="Y244" s="76" t="s">
        <v>39</v>
      </c>
      <c r="Z244" s="76"/>
      <c r="AA244" s="162" t="s">
        <v>748</v>
      </c>
    </row>
    <row r="245" spans="1:27" ht="15" customHeight="1">
      <c r="A245" s="35" t="s">
        <v>746</v>
      </c>
      <c r="B245" s="35" t="s">
        <v>749</v>
      </c>
      <c r="C245" s="45" t="s">
        <v>688</v>
      </c>
      <c r="D245" s="17" t="str" cm="1">
        <f t="array" ref="D245">_xlfn.TEXTJOIN(", ", TRUE(), _xlfn._xlws.FILTER(Speakers_in_Recordings!$B$2:$B$1502,Speakers_in_Recordings!$A$2:$A$1502=Rcrdngs[[#This Row],[Text]],"[no speaker selected in Speakers_in_Recordings]"))</f>
        <v>SAU_2025_Speaker13</v>
      </c>
      <c r="E245" s="17" t="str" cm="1">
        <f t="array" ref="E245">_xlfn.TEXTJOIN(", ", TRUE(), _xlfn._xlws.FILTER(Sbcts_Rcrdngs[Subject],Sbcts_Rcrdngs[Recording]=Rcrdngs[[#This Row],[Text]],"[no subject selected in Subjects_in_Recordings]"))</f>
        <v>[no subject selected in Subjects_in_Recordings]</v>
      </c>
      <c r="F245" s="18">
        <v>45699</v>
      </c>
      <c r="G245" s="134" t="s">
        <v>750</v>
      </c>
      <c r="H245" s="19" t="s">
        <v>274</v>
      </c>
      <c r="I245" s="19" t="s">
        <v>46</v>
      </c>
      <c r="J245" s="178"/>
      <c r="K245" s="153"/>
      <c r="L245" s="61" t="s">
        <v>529</v>
      </c>
      <c r="M245" s="20" t="s">
        <v>36</v>
      </c>
      <c r="N245" s="20"/>
      <c r="O245" s="21"/>
      <c r="P245" s="21"/>
      <c r="Q245" s="21"/>
      <c r="R245" s="21"/>
      <c r="S245" s="21"/>
      <c r="T245" s="21"/>
      <c r="U245" s="20" t="s">
        <v>289</v>
      </c>
      <c r="V245" s="22"/>
      <c r="W245" s="23"/>
      <c r="X245" s="24"/>
      <c r="Y245" s="76" t="s">
        <v>39</v>
      </c>
      <c r="Z245" s="76"/>
      <c r="AA245" s="162" t="s">
        <v>751</v>
      </c>
    </row>
    <row r="246" spans="1:27" ht="15" customHeight="1">
      <c r="A246" s="35" t="s">
        <v>749</v>
      </c>
      <c r="B246" s="35" t="s">
        <v>752</v>
      </c>
      <c r="C246" s="45" t="s">
        <v>688</v>
      </c>
      <c r="D246" s="17" t="str" cm="1">
        <f t="array" ref="D246">_xlfn.TEXTJOIN(", ", TRUE(), _xlfn._xlws.FILTER(Speakers_in_Recordings!$B$2:$B$1502,Speakers_in_Recordings!$A$2:$A$1502=Rcrdngs[[#This Row],[Text]],"[no speaker selected in Speakers_in_Recordings]"))</f>
        <v>SAU_2025_Speaker13</v>
      </c>
      <c r="E246" s="17" t="str" cm="1">
        <f t="array" ref="E246">_xlfn.TEXTJOIN(", ", TRUE(), _xlfn._xlws.FILTER(Sbcts_Rcrdngs[Subject],Sbcts_Rcrdngs[Recording]=Rcrdngs[[#This Row],[Text]],"[no subject selected in Subjects_in_Recordings]"))</f>
        <v>[no subject selected in Subjects_in_Recordings]</v>
      </c>
      <c r="F246" s="18">
        <v>45699</v>
      </c>
      <c r="G246" s="134" t="s">
        <v>753</v>
      </c>
      <c r="H246" s="19" t="s">
        <v>274</v>
      </c>
      <c r="I246" s="19" t="s">
        <v>46</v>
      </c>
      <c r="J246" s="178"/>
      <c r="K246" s="153"/>
      <c r="L246" s="61" t="s">
        <v>529</v>
      </c>
      <c r="M246" s="20" t="s">
        <v>36</v>
      </c>
      <c r="N246" s="20"/>
      <c r="O246" s="21"/>
      <c r="P246" s="21"/>
      <c r="Q246" s="21"/>
      <c r="R246" s="21"/>
      <c r="S246" s="21"/>
      <c r="T246" s="21"/>
      <c r="U246" s="20" t="s">
        <v>289</v>
      </c>
      <c r="V246" s="22"/>
      <c r="W246" s="23"/>
      <c r="X246" s="24"/>
      <c r="Y246" s="76" t="s">
        <v>39</v>
      </c>
      <c r="Z246" s="76"/>
      <c r="AA246" s="162" t="s">
        <v>754</v>
      </c>
    </row>
    <row r="247" spans="1:27" ht="15" customHeight="1">
      <c r="A247" s="35" t="s">
        <v>752</v>
      </c>
      <c r="B247" s="35" t="s">
        <v>755</v>
      </c>
      <c r="C247" s="45" t="s">
        <v>688</v>
      </c>
      <c r="D247" s="17" t="str" cm="1">
        <f t="array" ref="D247">_xlfn.TEXTJOIN(", ", TRUE(), _xlfn._xlws.FILTER(Speakers_in_Recordings!$B$2:$B$1502,Speakers_in_Recordings!$A$2:$A$1502=Rcrdngs[[#This Row],[Text]],"[no speaker selected in Speakers_in_Recordings]"))</f>
        <v>SAU_2025_Speaker13</v>
      </c>
      <c r="E247" s="17" t="str" cm="1">
        <f t="array" ref="E247">_xlfn.TEXTJOIN(", ", TRUE(), _xlfn._xlws.FILTER(Sbcts_Rcrdngs[Subject],Sbcts_Rcrdngs[Recording]=Rcrdngs[[#This Row],[Text]],"[no subject selected in Subjects_in_Recordings]"))</f>
        <v>[no subject selected in Subjects_in_Recordings]</v>
      </c>
      <c r="F247" s="18">
        <v>45699</v>
      </c>
      <c r="G247" s="134" t="s">
        <v>280</v>
      </c>
      <c r="H247" s="19" t="s">
        <v>274</v>
      </c>
      <c r="I247" s="19" t="s">
        <v>46</v>
      </c>
      <c r="J247" s="178"/>
      <c r="K247" s="153"/>
      <c r="L247" s="61" t="s">
        <v>529</v>
      </c>
      <c r="M247" s="20" t="s">
        <v>36</v>
      </c>
      <c r="N247" s="20"/>
      <c r="O247" s="21"/>
      <c r="P247" s="21"/>
      <c r="Q247" s="21"/>
      <c r="R247" s="21"/>
      <c r="S247" s="21"/>
      <c r="T247" s="21"/>
      <c r="U247" s="20" t="s">
        <v>289</v>
      </c>
      <c r="V247" s="22"/>
      <c r="W247" s="23"/>
      <c r="X247" s="24"/>
      <c r="Y247" s="76" t="s">
        <v>39</v>
      </c>
      <c r="Z247" s="76"/>
      <c r="AA247" s="162" t="s">
        <v>756</v>
      </c>
    </row>
    <row r="248" spans="1:27" ht="15" customHeight="1">
      <c r="A248" s="35" t="s">
        <v>755</v>
      </c>
      <c r="B248" s="27"/>
      <c r="C248" s="45" t="s">
        <v>688</v>
      </c>
      <c r="D248" s="17" t="str" cm="1">
        <f t="array" ref="D248">_xlfn.TEXTJOIN(", ", TRUE(), _xlfn._xlws.FILTER(Speakers_in_Recordings!$B$2:$B$1502,Speakers_in_Recordings!$A$2:$A$1502=Rcrdngs[[#This Row],[Text]],"[no speaker selected in Speakers_in_Recordings]"))</f>
        <v>SAU_2025_Speaker13</v>
      </c>
      <c r="E248" s="17" t="str" cm="1">
        <f t="array" ref="E248">_xlfn.TEXTJOIN(", ", TRUE(), _xlfn._xlws.FILTER(Sbcts_Rcrdngs[Subject],Sbcts_Rcrdngs[Recording]=Rcrdngs[[#This Row],[Text]],"[no subject selected in Subjects_in_Recordings]"))</f>
        <v>[no subject selected in Subjects_in_Recordings]</v>
      </c>
      <c r="F248" s="18">
        <v>45699</v>
      </c>
      <c r="G248" s="134" t="s">
        <v>757</v>
      </c>
      <c r="H248" s="19" t="s">
        <v>274</v>
      </c>
      <c r="I248" s="19" t="s">
        <v>46</v>
      </c>
      <c r="J248" s="178"/>
      <c r="K248" s="153"/>
      <c r="L248" s="61" t="s">
        <v>529</v>
      </c>
      <c r="M248" s="20" t="s">
        <v>36</v>
      </c>
      <c r="N248" s="20"/>
      <c r="O248" s="21"/>
      <c r="P248" s="21"/>
      <c r="Q248" s="21"/>
      <c r="R248" s="21"/>
      <c r="S248" s="21"/>
      <c r="T248" s="21"/>
      <c r="U248" s="20" t="s">
        <v>289</v>
      </c>
      <c r="V248" s="22"/>
      <c r="W248" s="23"/>
      <c r="X248" s="24"/>
      <c r="Y248" s="76" t="s">
        <v>39</v>
      </c>
      <c r="Z248" s="76"/>
      <c r="AA248" s="162" t="s">
        <v>758</v>
      </c>
    </row>
    <row r="249" spans="1:27" ht="15" customHeight="1">
      <c r="A249" s="35" t="s">
        <v>759</v>
      </c>
      <c r="B249" s="27"/>
      <c r="C249" s="45" t="s">
        <v>688</v>
      </c>
      <c r="D249" s="17" t="str" cm="1">
        <f t="array" ref="D249">_xlfn.TEXTJOIN(", ", TRUE(), _xlfn._xlws.FILTER(Speakers_in_Recordings!$B$2:$B$1502,Speakers_in_Recordings!$A$2:$A$1502=Rcrdngs[[#This Row],[Text]],"[no speaker selected in Speakers_in_Recordings]"))</f>
        <v>SAU_2025_Speaker18, SAU_2025_Speaker6</v>
      </c>
      <c r="E249" s="17" t="str" cm="1">
        <f t="array" ref="E249">_xlfn.TEXTJOIN(", ", TRUE(), _xlfn._xlws.FILTER(Sbcts_Rcrdngs[Subject],Sbcts_Rcrdngs[Recording]=Rcrdngs[[#This Row],[Text]],"[no subject selected in Subjects_in_Recordings]"))</f>
        <v>[no subject selected in Subjects_in_Recordings]</v>
      </c>
      <c r="F249" s="18">
        <v>45700</v>
      </c>
      <c r="G249" s="134" t="s">
        <v>760</v>
      </c>
      <c r="H249" s="19" t="s">
        <v>274</v>
      </c>
      <c r="I249" s="19" t="s">
        <v>32</v>
      </c>
      <c r="J249" s="178"/>
      <c r="K249" s="153"/>
      <c r="L249" s="61" t="s">
        <v>529</v>
      </c>
      <c r="M249" s="20" t="s">
        <v>36</v>
      </c>
      <c r="N249" s="20"/>
      <c r="O249" s="21"/>
      <c r="P249" s="21"/>
      <c r="Q249" s="21"/>
      <c r="R249" s="21"/>
      <c r="S249" s="21"/>
      <c r="T249" s="21"/>
      <c r="U249" s="20" t="s">
        <v>289</v>
      </c>
      <c r="V249" s="22"/>
      <c r="W249" s="23"/>
      <c r="X249" s="24"/>
      <c r="Y249" s="76" t="s">
        <v>39</v>
      </c>
      <c r="Z249" s="76"/>
      <c r="AA249" s="162" t="s">
        <v>761</v>
      </c>
    </row>
    <row r="250" spans="1:27" ht="15" customHeight="1">
      <c r="A250" s="35" t="s">
        <v>762</v>
      </c>
      <c r="B250" s="35" t="s">
        <v>763</v>
      </c>
      <c r="C250" s="45" t="s">
        <v>688</v>
      </c>
      <c r="D250" s="17" t="str" cm="1">
        <f t="array" ref="D250">_xlfn.TEXTJOIN(", ", TRUE(), _xlfn._xlws.FILTER(Speakers_in_Recordings!$B$2:$B$1502,Speakers_in_Recordings!$A$2:$A$1502=Rcrdngs[[#This Row],[Text]],"[no speaker selected in Speakers_in_Recordings]"))</f>
        <v>SAU_2025_Speaker6, SAU_2025_Speaker7</v>
      </c>
      <c r="E250" s="17" t="str" cm="1">
        <f t="array" ref="E250">_xlfn.TEXTJOIN(", ", TRUE(), _xlfn._xlws.FILTER(Sbcts_Rcrdngs[Subject],Sbcts_Rcrdngs[Recording]=Rcrdngs[[#This Row],[Text]],"[no subject selected in Subjects_in_Recordings]"))</f>
        <v>[no subject selected in Subjects_in_Recordings]</v>
      </c>
      <c r="F250" s="18">
        <v>45698</v>
      </c>
      <c r="G250" s="134" t="s">
        <v>764</v>
      </c>
      <c r="H250" s="19" t="s">
        <v>274</v>
      </c>
      <c r="I250" s="19" t="s">
        <v>46</v>
      </c>
      <c r="J250" s="178"/>
      <c r="K250" s="153"/>
      <c r="L250" s="61" t="s">
        <v>529</v>
      </c>
      <c r="M250" s="20" t="s">
        <v>36</v>
      </c>
      <c r="N250" s="20"/>
      <c r="O250" s="21"/>
      <c r="P250" s="21"/>
      <c r="Q250" s="21"/>
      <c r="R250" s="21"/>
      <c r="S250" s="21"/>
      <c r="T250" s="21"/>
      <c r="U250" s="20" t="s">
        <v>37</v>
      </c>
      <c r="V250" s="22"/>
      <c r="W250" s="23"/>
      <c r="X250" s="24"/>
      <c r="Y250" s="76" t="s">
        <v>39</v>
      </c>
      <c r="Z250" s="76"/>
      <c r="AA250" s="162" t="s">
        <v>765</v>
      </c>
    </row>
    <row r="251" spans="1:27" ht="15" customHeight="1">
      <c r="A251" s="35" t="s">
        <v>763</v>
      </c>
      <c r="B251" s="35" t="s">
        <v>766</v>
      </c>
      <c r="C251" s="45" t="s">
        <v>688</v>
      </c>
      <c r="D251" s="17" t="str" cm="1">
        <f t="array" ref="D251">_xlfn.TEXTJOIN(", ", TRUE(), _xlfn._xlws.FILTER(Speakers_in_Recordings!$B$2:$B$1502,Speakers_in_Recordings!$A$2:$A$1502=Rcrdngs[[#This Row],[Text]],"[no speaker selected in Speakers_in_Recordings]"))</f>
        <v>SAU_2025_Speaker7, SAU_2025_Rebecca</v>
      </c>
      <c r="E251" s="17" t="str" cm="1">
        <f t="array" ref="E251">_xlfn.TEXTJOIN(", ", TRUE(), _xlfn._xlws.FILTER(Sbcts_Rcrdngs[Subject],Sbcts_Rcrdngs[Recording]=Rcrdngs[[#This Row],[Text]],"[no subject selected in Subjects_in_Recordings]"))</f>
        <v>Coffee</v>
      </c>
      <c r="F251" s="18">
        <v>45698</v>
      </c>
      <c r="G251" s="134" t="s">
        <v>767</v>
      </c>
      <c r="H251" s="19" t="s">
        <v>31</v>
      </c>
      <c r="I251" s="19" t="s">
        <v>46</v>
      </c>
      <c r="J251" s="178" t="s">
        <v>32</v>
      </c>
      <c r="K251" s="153" t="s">
        <v>33</v>
      </c>
      <c r="L251" s="61" t="s">
        <v>34</v>
      </c>
      <c r="M251" s="20" t="s">
        <v>36</v>
      </c>
      <c r="N251" s="20" t="s">
        <v>36</v>
      </c>
      <c r="O251" s="21"/>
      <c r="P251" s="21"/>
      <c r="Q251" s="21"/>
      <c r="R251" s="21"/>
      <c r="S251" s="21"/>
      <c r="T251" s="21"/>
      <c r="U251" s="20" t="s">
        <v>37</v>
      </c>
      <c r="V251" s="22"/>
      <c r="W251" s="23"/>
      <c r="X251" s="24"/>
      <c r="Y251" s="76" t="s">
        <v>39</v>
      </c>
      <c r="Z251" s="76"/>
      <c r="AA251" s="162" t="s">
        <v>768</v>
      </c>
    </row>
    <row r="252" spans="1:27" ht="15" customHeight="1">
      <c r="A252" s="35" t="s">
        <v>766</v>
      </c>
      <c r="B252" s="27"/>
      <c r="C252" s="45" t="s">
        <v>688</v>
      </c>
      <c r="D252" s="17" t="str" cm="1">
        <f t="array" ref="D252">_xlfn.TEXTJOIN(", ", TRUE(), _xlfn._xlws.FILTER(Speakers_in_Recordings!$B$2:$B$1502,Speakers_in_Recordings!$A$2:$A$1502=Rcrdngs[[#This Row],[Text]],"[no speaker selected in Speakers_in_Recordings]"))</f>
        <v>SAU_2025_Speaker7_Son, SAU_2025_Speaker7, SAU_2025_Rebecca</v>
      </c>
      <c r="E252" s="17" t="str" cm="1">
        <f t="array" ref="E252">_xlfn.TEXTJOIN(", ", TRUE(), _xlfn._xlws.FILTER(Sbcts_Rcrdngs[Subject],Sbcts_Rcrdngs[Recording]=Rcrdngs[[#This Row],[Text]],"[no subject selected in Subjects_in_Recordings]"))</f>
        <v>Coffee</v>
      </c>
      <c r="F252" s="18">
        <v>45698</v>
      </c>
      <c r="G252" s="134" t="s">
        <v>769</v>
      </c>
      <c r="H252" s="19" t="s">
        <v>31</v>
      </c>
      <c r="I252" s="19" t="s">
        <v>46</v>
      </c>
      <c r="J252" s="178" t="s">
        <v>32</v>
      </c>
      <c r="K252" s="153" t="s">
        <v>33</v>
      </c>
      <c r="L252" s="61" t="s">
        <v>34</v>
      </c>
      <c r="M252" s="20" t="s">
        <v>36</v>
      </c>
      <c r="N252" s="20" t="s">
        <v>36</v>
      </c>
      <c r="O252" s="21"/>
      <c r="P252" s="21"/>
      <c r="Q252" s="21"/>
      <c r="R252" s="21"/>
      <c r="S252" s="21"/>
      <c r="T252" s="21"/>
      <c r="U252" s="20" t="s">
        <v>37</v>
      </c>
      <c r="V252" s="22"/>
      <c r="W252" s="23"/>
      <c r="X252" s="24"/>
      <c r="Y252" s="76" t="s">
        <v>39</v>
      </c>
      <c r="Z252" s="76"/>
      <c r="AA252" s="162" t="s">
        <v>770</v>
      </c>
    </row>
    <row r="253" spans="1:27" ht="15" customHeight="1">
      <c r="A253" s="35" t="s">
        <v>771</v>
      </c>
      <c r="B253" s="35" t="s">
        <v>772</v>
      </c>
      <c r="C253" s="45" t="s">
        <v>688</v>
      </c>
      <c r="D253" s="17" t="str" cm="1">
        <f t="array" ref="D253">_xlfn.TEXTJOIN(", ", TRUE(), _xlfn._xlws.FILTER(Speakers_in_Recordings!$B$2:$B$1502,Speakers_in_Recordings!$A$2:$A$1502=Rcrdngs[[#This Row],[Text]],"[no speaker selected in Speakers_in_Recordings]"))</f>
        <v>SAU_2025_Speaker6, SAU_2025_Speaker7, SAU_2025_Speaker21</v>
      </c>
      <c r="E253" s="17" t="str" cm="1">
        <f t="array" ref="E253">_xlfn.TEXTJOIN(", ", TRUE(), _xlfn._xlws.FILTER(Sbcts_Rcrdngs[Subject],Sbcts_Rcrdngs[Recording]=Rcrdngs[[#This Row],[Text]],"[no subject selected in Subjects_in_Recordings]"))</f>
        <v>[no subject selected in Subjects_in_Recordings]</v>
      </c>
      <c r="F253" s="18">
        <v>45700</v>
      </c>
      <c r="G253" s="134" t="s">
        <v>773</v>
      </c>
      <c r="H253" s="19" t="s">
        <v>274</v>
      </c>
      <c r="I253" s="19" t="s">
        <v>32</v>
      </c>
      <c r="J253" s="178"/>
      <c r="K253" s="153"/>
      <c r="L253" s="61" t="s">
        <v>529</v>
      </c>
      <c r="M253" s="20" t="s">
        <v>36</v>
      </c>
      <c r="N253" s="20"/>
      <c r="O253" s="21"/>
      <c r="P253" s="21"/>
      <c r="Q253" s="21"/>
      <c r="R253" s="21"/>
      <c r="S253" s="21"/>
      <c r="T253" s="21"/>
      <c r="U253" s="20" t="s">
        <v>62</v>
      </c>
      <c r="V253" s="22"/>
      <c r="W253" s="23"/>
      <c r="X253" s="24"/>
      <c r="Y253" s="76" t="s">
        <v>39</v>
      </c>
      <c r="Z253" s="76"/>
      <c r="AA253" s="162" t="s">
        <v>774</v>
      </c>
    </row>
    <row r="254" spans="1:27" ht="15" customHeight="1">
      <c r="A254" s="35" t="s">
        <v>772</v>
      </c>
      <c r="B254" s="27"/>
      <c r="C254" s="45" t="s">
        <v>688</v>
      </c>
      <c r="D254" s="17" t="str" cm="1">
        <f t="array" ref="D254">_xlfn.TEXTJOIN(", ", TRUE(), _xlfn._xlws.FILTER(Speakers_in_Recordings!$B$2:$B$1502,Speakers_in_Recordings!$A$2:$A$1502=Rcrdngs[[#This Row],[Text]],"[no speaker selected in Speakers_in_Recordings]"))</f>
        <v>SAU_2025_Speaker6, SAU_2025_Speaker7, SAU_2025_Speaker21</v>
      </c>
      <c r="E254" s="17" t="str" cm="1">
        <f t="array" ref="E254">_xlfn.TEXTJOIN(", ", TRUE(), _xlfn._xlws.FILTER(Sbcts_Rcrdngs[Subject],Sbcts_Rcrdngs[Recording]=Rcrdngs[[#This Row],[Text]],"[no subject selected in Subjects_in_Recordings]"))</f>
        <v>[no subject selected in Subjects_in_Recordings]</v>
      </c>
      <c r="F254" s="18">
        <v>45700</v>
      </c>
      <c r="G254" s="134" t="s">
        <v>775</v>
      </c>
      <c r="H254" s="19" t="s">
        <v>274</v>
      </c>
      <c r="I254" s="19" t="s">
        <v>32</v>
      </c>
      <c r="J254" s="178"/>
      <c r="K254" s="153"/>
      <c r="L254" s="61" t="s">
        <v>529</v>
      </c>
      <c r="M254" s="20" t="s">
        <v>36</v>
      </c>
      <c r="N254" s="20"/>
      <c r="O254" s="21"/>
      <c r="P254" s="21"/>
      <c r="Q254" s="21"/>
      <c r="R254" s="21"/>
      <c r="S254" s="21"/>
      <c r="T254" s="21"/>
      <c r="U254" s="20" t="s">
        <v>62</v>
      </c>
      <c r="V254" s="22"/>
      <c r="W254" s="23"/>
      <c r="X254" s="24"/>
      <c r="Y254" s="76" t="s">
        <v>39</v>
      </c>
      <c r="Z254" s="76"/>
      <c r="AA254" s="162" t="s">
        <v>776</v>
      </c>
    </row>
    <row r="255" spans="1:27" ht="15" customHeight="1">
      <c r="A255" s="35" t="s">
        <v>777</v>
      </c>
      <c r="B255" s="35" t="s">
        <v>778</v>
      </c>
      <c r="C255" s="45" t="s">
        <v>688</v>
      </c>
      <c r="D255" s="17" t="str" cm="1">
        <f t="array" ref="D255">_xlfn.TEXTJOIN(", ", TRUE(), _xlfn._xlws.FILTER(Speakers_in_Recordings!$B$2:$B$1502,Speakers_in_Recordings!$A$2:$A$1502=Rcrdngs[[#This Row],[Text]],"[no speaker selected in Speakers_in_Recordings]"))</f>
        <v>SAU_2025_Speaker21, SAU_2025_Speaker7, SAU_2025_Speaker6</v>
      </c>
      <c r="E255" s="17" t="str" cm="1">
        <f t="array" ref="E255">_xlfn.TEXTJOIN(", ", TRUE(), _xlfn._xlws.FILTER(Sbcts_Rcrdngs[Subject],Sbcts_Rcrdngs[Recording]=Rcrdngs[[#This Row],[Text]],"[no subject selected in Subjects_in_Recordings]"))</f>
        <v>[no subject selected in Subjects_in_Recordings]</v>
      </c>
      <c r="F255" s="18">
        <v>45701</v>
      </c>
      <c r="G255" s="134" t="s">
        <v>779</v>
      </c>
      <c r="H255" s="19" t="s">
        <v>274</v>
      </c>
      <c r="I255" s="19" t="s">
        <v>46</v>
      </c>
      <c r="J255" s="178"/>
      <c r="K255" s="153"/>
      <c r="L255" s="61" t="s">
        <v>529</v>
      </c>
      <c r="M255" s="20" t="s">
        <v>36</v>
      </c>
      <c r="N255" s="20"/>
      <c r="O255" s="21"/>
      <c r="P255" s="21"/>
      <c r="Q255" s="21"/>
      <c r="R255" s="21"/>
      <c r="S255" s="21"/>
      <c r="T255" s="21"/>
      <c r="U255" s="20" t="s">
        <v>62</v>
      </c>
      <c r="V255" s="22"/>
      <c r="W255" s="23"/>
      <c r="X255" s="24"/>
      <c r="Y255" s="76" t="s">
        <v>39</v>
      </c>
      <c r="Z255" s="76"/>
      <c r="AA255" s="162" t="s">
        <v>780</v>
      </c>
    </row>
    <row r="256" spans="1:27" ht="15" customHeight="1">
      <c r="A256" s="35" t="s">
        <v>778</v>
      </c>
      <c r="B256" s="35" t="s">
        <v>781</v>
      </c>
      <c r="C256" s="45" t="s">
        <v>688</v>
      </c>
      <c r="D256" s="17" t="str" cm="1">
        <f t="array" ref="D256">_xlfn.TEXTJOIN(", ", TRUE(), _xlfn._xlws.FILTER(Speakers_in_Recordings!$B$2:$B$1502,Speakers_in_Recordings!$A$2:$A$1502=Rcrdngs[[#This Row],[Text]],"[no speaker selected in Speakers_in_Recordings]"))</f>
        <v>SAU_2025_Speaker21</v>
      </c>
      <c r="E256" s="17" t="str" cm="1">
        <f t="array" ref="E256">_xlfn.TEXTJOIN(", ", TRUE(), _xlfn._xlws.FILTER(Sbcts_Rcrdngs[Subject],Sbcts_Rcrdngs[Recording]=Rcrdngs[[#This Row],[Text]],"[no subject selected in Subjects_in_Recordings]"))</f>
        <v>[no subject selected in Subjects_in_Recordings]</v>
      </c>
      <c r="F256" s="18">
        <v>45701</v>
      </c>
      <c r="G256" s="134" t="s">
        <v>782</v>
      </c>
      <c r="H256" s="19" t="s">
        <v>274</v>
      </c>
      <c r="I256" s="19" t="s">
        <v>46</v>
      </c>
      <c r="J256" s="178"/>
      <c r="K256" s="153"/>
      <c r="L256" s="61" t="s">
        <v>529</v>
      </c>
      <c r="M256" s="20" t="s">
        <v>36</v>
      </c>
      <c r="N256" s="20"/>
      <c r="O256" s="21"/>
      <c r="P256" s="21"/>
      <c r="Q256" s="21"/>
      <c r="R256" s="21"/>
      <c r="S256" s="21"/>
      <c r="T256" s="21"/>
      <c r="U256" s="20" t="s">
        <v>62</v>
      </c>
      <c r="V256" s="22"/>
      <c r="W256" s="23"/>
      <c r="X256" s="24"/>
      <c r="Y256" s="76" t="s">
        <v>39</v>
      </c>
      <c r="Z256" s="76"/>
      <c r="AA256" s="162" t="s">
        <v>783</v>
      </c>
    </row>
    <row r="257" spans="1:27" ht="15" customHeight="1">
      <c r="A257" s="35" t="s">
        <v>781</v>
      </c>
      <c r="B257" s="35" t="s">
        <v>784</v>
      </c>
      <c r="C257" s="45" t="s">
        <v>688</v>
      </c>
      <c r="D257" s="17" t="str" cm="1">
        <f t="array" ref="D257">_xlfn.TEXTJOIN(", ", TRUE(), _xlfn._xlws.FILTER(Speakers_in_Recordings!$B$2:$B$1502,Speakers_in_Recordings!$A$2:$A$1502=Rcrdngs[[#This Row],[Text]],"[no speaker selected in Speakers_in_Recordings]"))</f>
        <v>SAU_2025_Speaker21, SAU_2025_Speaker7</v>
      </c>
      <c r="E257" s="17" t="str" cm="1">
        <f t="array" ref="E257">_xlfn.TEXTJOIN(", ", TRUE(), _xlfn._xlws.FILTER(Sbcts_Rcrdngs[Subject],Sbcts_Rcrdngs[Recording]=Rcrdngs[[#This Row],[Text]],"[no subject selected in Subjects_in_Recordings]"))</f>
        <v>[no subject selected in Subjects_in_Recordings]</v>
      </c>
      <c r="F257" s="18">
        <v>45701</v>
      </c>
      <c r="G257" s="134" t="s">
        <v>600</v>
      </c>
      <c r="H257" s="19" t="s">
        <v>274</v>
      </c>
      <c r="I257" s="19" t="s">
        <v>46</v>
      </c>
      <c r="J257" s="19"/>
      <c r="K257" s="153"/>
      <c r="L257" s="61" t="s">
        <v>529</v>
      </c>
      <c r="M257" s="20" t="s">
        <v>36</v>
      </c>
      <c r="N257" s="20"/>
      <c r="O257" s="21"/>
      <c r="P257" s="21"/>
      <c r="Q257" s="21"/>
      <c r="R257" s="21"/>
      <c r="S257" s="21"/>
      <c r="T257" s="21"/>
      <c r="U257" s="20" t="s">
        <v>62</v>
      </c>
      <c r="V257" s="22"/>
      <c r="W257" s="23"/>
      <c r="X257" s="24"/>
      <c r="Y257" s="76" t="s">
        <v>39</v>
      </c>
      <c r="Z257" s="76"/>
      <c r="AA257" s="162" t="s">
        <v>785</v>
      </c>
    </row>
    <row r="258" spans="1:27" ht="15" customHeight="1">
      <c r="A258" s="35" t="s">
        <v>784</v>
      </c>
      <c r="B258" s="27"/>
      <c r="C258" s="45" t="s">
        <v>688</v>
      </c>
      <c r="D258" s="17" t="str" cm="1">
        <f t="array" ref="D258">_xlfn.TEXTJOIN(", ", TRUE(), _xlfn._xlws.FILTER(Speakers_in_Recordings!$B$2:$B$1502,Speakers_in_Recordings!$A$2:$A$1502=Rcrdngs[[#This Row],[Text]],"[no speaker selected in Speakers_in_Recordings]"))</f>
        <v>SAU_2025_Speaker21, SAU_2025_Speaker7, SAU_2025_Speaker6</v>
      </c>
      <c r="E258" s="17" t="str" cm="1">
        <f t="array" ref="E258">_xlfn.TEXTJOIN(", ", TRUE(), _xlfn._xlws.FILTER(Sbcts_Rcrdngs[Subject],Sbcts_Rcrdngs[Recording]=Rcrdngs[[#This Row],[Text]],"[no subject selected in Subjects_in_Recordings]"))</f>
        <v>[no subject selected in Subjects_in_Recordings]</v>
      </c>
      <c r="F258" s="18">
        <v>45701</v>
      </c>
      <c r="G258" s="134" t="s">
        <v>786</v>
      </c>
      <c r="H258" s="19" t="s">
        <v>274</v>
      </c>
      <c r="I258" s="19" t="s">
        <v>46</v>
      </c>
      <c r="J258" s="19"/>
      <c r="K258" s="153"/>
      <c r="L258" s="61" t="s">
        <v>529</v>
      </c>
      <c r="M258" s="20" t="s">
        <v>36</v>
      </c>
      <c r="N258" s="20"/>
      <c r="O258" s="21"/>
      <c r="P258" s="21"/>
      <c r="Q258" s="21"/>
      <c r="R258" s="21"/>
      <c r="S258" s="21"/>
      <c r="T258" s="21"/>
      <c r="U258" s="20" t="s">
        <v>62</v>
      </c>
      <c r="V258" s="22"/>
      <c r="W258" s="23"/>
      <c r="X258" s="24"/>
      <c r="Y258" s="76" t="s">
        <v>39</v>
      </c>
      <c r="Z258" s="76"/>
      <c r="AA258" s="162" t="s">
        <v>787</v>
      </c>
    </row>
    <row r="259" spans="1:27" ht="15" customHeight="1">
      <c r="A259" s="35" t="s">
        <v>788</v>
      </c>
      <c r="B259" s="27"/>
      <c r="C259" s="45" t="s">
        <v>688</v>
      </c>
      <c r="D259" s="17" t="str" cm="1">
        <f t="array" ref="D259">_xlfn.TEXTJOIN(", ", TRUE(), _xlfn._xlws.FILTER(Speakers_in_Recordings!$B$2:$B$1502,Speakers_in_Recordings!$A$2:$A$1502=Rcrdngs[[#This Row],[Text]],"[no speaker selected in Speakers_in_Recordings]"))</f>
        <v>SAU_2025_Speaker6, SAU_2025_Speaker31</v>
      </c>
      <c r="E259" s="17" t="str" cm="1">
        <f t="array" ref="E259">_xlfn.TEXTJOIN(", ", TRUE(), _xlfn._xlws.FILTER(Sbcts_Rcrdngs[Subject],Sbcts_Rcrdngs[Recording]=Rcrdngs[[#This Row],[Text]],"[no subject selected in Subjects_in_Recordings]"))</f>
        <v>[no subject selected in Subjects_in_Recordings]</v>
      </c>
      <c r="F259" s="18">
        <v>45702</v>
      </c>
      <c r="G259" s="134" t="s">
        <v>789</v>
      </c>
      <c r="H259" s="19" t="s">
        <v>274</v>
      </c>
      <c r="I259" s="19" t="s">
        <v>32</v>
      </c>
      <c r="J259" s="19"/>
      <c r="K259" s="153"/>
      <c r="L259" s="61" t="s">
        <v>529</v>
      </c>
      <c r="M259" s="20" t="s">
        <v>36</v>
      </c>
      <c r="N259" s="20"/>
      <c r="O259" s="21"/>
      <c r="P259" s="21"/>
      <c r="Q259" s="21"/>
      <c r="R259" s="21"/>
      <c r="S259" s="21"/>
      <c r="T259" s="21"/>
      <c r="U259" s="20" t="s">
        <v>37</v>
      </c>
      <c r="V259" s="22"/>
      <c r="W259" s="23"/>
      <c r="X259" s="24"/>
      <c r="Y259" s="76" t="s">
        <v>173</v>
      </c>
      <c r="Z259" s="76"/>
      <c r="AA259" s="162" t="s">
        <v>790</v>
      </c>
    </row>
    <row r="260" spans="1:27" ht="15" customHeight="1">
      <c r="A260" s="35" t="s">
        <v>791</v>
      </c>
      <c r="B260" s="35" t="s">
        <v>792</v>
      </c>
      <c r="C260" s="45" t="s">
        <v>688</v>
      </c>
      <c r="D260" s="17" t="str" cm="1">
        <f t="array" ref="D260">_xlfn.TEXTJOIN(", ", TRUE(), _xlfn._xlws.FILTER(Speakers_in_Recordings!$B$2:$B$1502,Speakers_in_Recordings!$A$2:$A$1502=Rcrdngs[[#This Row],[Text]],"[no speaker selected in Speakers_in_Recordings]"))</f>
        <v>SAU_2025_Speaker41, SAU_2025_Speaker6</v>
      </c>
      <c r="E260" s="17" t="str" cm="1">
        <f t="array" ref="E260">_xlfn.TEXTJOIN(", ", TRUE(), _xlfn._xlws.FILTER(Sbcts_Rcrdngs[Subject],Sbcts_Rcrdngs[Recording]=Rcrdngs[[#This Row],[Text]],"[no subject selected in Subjects_in_Recordings]"))</f>
        <v>[no subject selected in Subjects_in_Recordings]</v>
      </c>
      <c r="F260" s="18">
        <v>45703</v>
      </c>
      <c r="G260" s="134" t="s">
        <v>793</v>
      </c>
      <c r="H260" s="19" t="s">
        <v>274</v>
      </c>
      <c r="I260" s="19" t="s">
        <v>46</v>
      </c>
      <c r="J260" s="19"/>
      <c r="K260" s="153"/>
      <c r="L260" s="61" t="s">
        <v>529</v>
      </c>
      <c r="M260" s="20" t="s">
        <v>36</v>
      </c>
      <c r="N260" s="20"/>
      <c r="O260" s="21"/>
      <c r="P260" s="21"/>
      <c r="Q260" s="21"/>
      <c r="R260" s="21"/>
      <c r="S260" s="21"/>
      <c r="T260" s="21"/>
      <c r="U260" s="20" t="s">
        <v>37</v>
      </c>
      <c r="V260" s="22"/>
      <c r="W260" s="23"/>
      <c r="X260" s="24"/>
      <c r="Y260" s="76" t="s">
        <v>39</v>
      </c>
      <c r="Z260" s="76"/>
      <c r="AA260" s="162" t="s">
        <v>794</v>
      </c>
    </row>
    <row r="261" spans="1:27" ht="15" customHeight="1">
      <c r="A261" s="35" t="s">
        <v>792</v>
      </c>
      <c r="B261" s="35" t="s">
        <v>795</v>
      </c>
      <c r="C261" s="45" t="s">
        <v>688</v>
      </c>
      <c r="D261" s="17" t="str" cm="1">
        <f t="array" ref="D261">_xlfn.TEXTJOIN(", ", TRUE(), _xlfn._xlws.FILTER(Speakers_in_Recordings!$B$2:$B$1502,Speakers_in_Recordings!$A$2:$A$1502=Rcrdngs[[#This Row],[Text]],"[no speaker selected in Speakers_in_Recordings]"))</f>
        <v>SAU_2025_Speaker41, SAU_2025_Speaker6</v>
      </c>
      <c r="E261" s="17" t="str" cm="1">
        <f t="array" ref="E261">_xlfn.TEXTJOIN(", ", TRUE(), _xlfn._xlws.FILTER(Sbcts_Rcrdngs[Subject],Sbcts_Rcrdngs[Recording]=Rcrdngs[[#This Row],[Text]],"[no subject selected in Subjects_in_Recordings]"))</f>
        <v>[no subject selected in Subjects_in_Recordings]</v>
      </c>
      <c r="F261" s="18">
        <v>45703</v>
      </c>
      <c r="G261" s="134" t="s">
        <v>796</v>
      </c>
      <c r="H261" s="19" t="s">
        <v>274</v>
      </c>
      <c r="I261" s="19" t="s">
        <v>46</v>
      </c>
      <c r="J261" s="19"/>
      <c r="K261" s="153"/>
      <c r="L261" s="61" t="s">
        <v>529</v>
      </c>
      <c r="M261" s="20" t="s">
        <v>36</v>
      </c>
      <c r="N261" s="20"/>
      <c r="O261" s="21"/>
      <c r="P261" s="21"/>
      <c r="Q261" s="21"/>
      <c r="R261" s="21"/>
      <c r="S261" s="21"/>
      <c r="T261" s="21"/>
      <c r="U261" s="20" t="s">
        <v>37</v>
      </c>
      <c r="V261" s="22"/>
      <c r="W261" s="23"/>
      <c r="X261" s="24"/>
      <c r="Y261" s="76" t="s">
        <v>39</v>
      </c>
      <c r="Z261" s="76"/>
      <c r="AA261" s="162" t="s">
        <v>797</v>
      </c>
    </row>
    <row r="262" spans="1:27" ht="15" customHeight="1">
      <c r="A262" s="35" t="s">
        <v>795</v>
      </c>
      <c r="B262" s="27"/>
      <c r="C262" s="45" t="s">
        <v>688</v>
      </c>
      <c r="D262" s="17" t="str" cm="1">
        <f t="array" ref="D262">_xlfn.TEXTJOIN(", ", TRUE(), _xlfn._xlws.FILTER(Speakers_in_Recordings!$B$2:$B$1502,Speakers_in_Recordings!$A$2:$A$1502=Rcrdngs[[#This Row],[Text]],"[no speaker selected in Speakers_in_Recordings]"))</f>
        <v>SAU_2025_Speaker41, SAU_2025_Speaker6</v>
      </c>
      <c r="E262" s="17" t="str" cm="1">
        <f t="array" ref="E262">_xlfn.TEXTJOIN(", ", TRUE(), _xlfn._xlws.FILTER(Sbcts_Rcrdngs[Subject],Sbcts_Rcrdngs[Recording]=Rcrdngs[[#This Row],[Text]],"[no subject selected in Subjects_in_Recordings]"))</f>
        <v>[no subject selected in Subjects_in_Recordings]</v>
      </c>
      <c r="F262" s="18">
        <v>45703</v>
      </c>
      <c r="G262" s="134" t="s">
        <v>798</v>
      </c>
      <c r="H262" s="19" t="s">
        <v>274</v>
      </c>
      <c r="I262" s="19" t="s">
        <v>46</v>
      </c>
      <c r="J262" s="19"/>
      <c r="K262" s="153"/>
      <c r="L262" s="61" t="s">
        <v>529</v>
      </c>
      <c r="M262" s="20" t="s">
        <v>36</v>
      </c>
      <c r="N262" s="20"/>
      <c r="O262" s="21"/>
      <c r="P262" s="21"/>
      <c r="Q262" s="21"/>
      <c r="R262" s="21"/>
      <c r="S262" s="21"/>
      <c r="T262" s="21"/>
      <c r="U262" s="20" t="s">
        <v>37</v>
      </c>
      <c r="V262" s="22"/>
      <c r="W262" s="23"/>
      <c r="X262" s="24"/>
      <c r="Y262" s="76" t="s">
        <v>39</v>
      </c>
      <c r="Z262" s="76"/>
      <c r="AA262" s="162" t="s">
        <v>799</v>
      </c>
    </row>
    <row r="263" spans="1:27" ht="15" customHeight="1">
      <c r="A263" s="35" t="s">
        <v>800</v>
      </c>
      <c r="B263" s="35" t="s">
        <v>801</v>
      </c>
      <c r="C263" s="45" t="s">
        <v>688</v>
      </c>
      <c r="D263" s="17" t="str" cm="1">
        <f t="array" ref="D263">_xlfn.TEXTJOIN(", ", TRUE(), _xlfn._xlws.FILTER(Speakers_in_Recordings!$B$2:$B$1502,Speakers_in_Recordings!$A$2:$A$1502=Rcrdngs[[#This Row],[Text]],"[no speaker selected in Speakers_in_Recordings]"))</f>
        <v>SAU_2025_Speaker6, SAU_2025_Speaker42</v>
      </c>
      <c r="E263" s="17" t="str" cm="1">
        <f t="array" ref="E263">_xlfn.TEXTJOIN(", ", TRUE(), _xlfn._xlws.FILTER(Sbcts_Rcrdngs[Subject],Sbcts_Rcrdngs[Recording]=Rcrdngs[[#This Row],[Text]],"[no subject selected in Subjects_in_Recordings]"))</f>
        <v>[no subject selected in Subjects_in_Recordings]</v>
      </c>
      <c r="F263" s="18">
        <v>45703</v>
      </c>
      <c r="G263" s="134" t="s">
        <v>802</v>
      </c>
      <c r="H263" s="19" t="s">
        <v>274</v>
      </c>
      <c r="I263" s="19" t="s">
        <v>32</v>
      </c>
      <c r="J263" s="19"/>
      <c r="K263" s="153"/>
      <c r="L263" s="61" t="s">
        <v>529</v>
      </c>
      <c r="M263" s="20" t="s">
        <v>36</v>
      </c>
      <c r="N263" s="20"/>
      <c r="O263" s="21"/>
      <c r="P263" s="21"/>
      <c r="Q263" s="21"/>
      <c r="R263" s="21"/>
      <c r="S263" s="21"/>
      <c r="T263" s="21"/>
      <c r="U263" s="20" t="s">
        <v>37</v>
      </c>
      <c r="V263" s="22"/>
      <c r="W263" s="23"/>
      <c r="X263" s="24"/>
      <c r="Y263" s="76" t="s">
        <v>39</v>
      </c>
      <c r="Z263" s="76"/>
      <c r="AA263" s="162" t="s">
        <v>803</v>
      </c>
    </row>
    <row r="264" spans="1:27" ht="15" customHeight="1">
      <c r="A264" s="35" t="s">
        <v>801</v>
      </c>
      <c r="B264" s="27"/>
      <c r="C264" s="45" t="s">
        <v>688</v>
      </c>
      <c r="D264" s="17" t="str" cm="1">
        <f t="array" ref="D264">_xlfn.TEXTJOIN(", ", TRUE(), _xlfn._xlws.FILTER(Speakers_in_Recordings!$B$2:$B$1502,Speakers_in_Recordings!$A$2:$A$1502=Rcrdngs[[#This Row],[Text]],"[no speaker selected in Speakers_in_Recordings]"))</f>
        <v>SAU_2025_Speaker6, SAU_2025_Speaker42</v>
      </c>
      <c r="E264" s="17" t="str" cm="1">
        <f t="array" ref="E264">_xlfn.TEXTJOIN(", ", TRUE(), _xlfn._xlws.FILTER(Sbcts_Rcrdngs[Subject],Sbcts_Rcrdngs[Recording]=Rcrdngs[[#This Row],[Text]],"[no subject selected in Subjects_in_Recordings]"))</f>
        <v>[no subject selected in Subjects_in_Recordings]</v>
      </c>
      <c r="F264" s="18">
        <v>45703</v>
      </c>
      <c r="G264" s="134" t="s">
        <v>804</v>
      </c>
      <c r="H264" s="19" t="s">
        <v>274</v>
      </c>
      <c r="I264" s="19" t="s">
        <v>32</v>
      </c>
      <c r="J264" s="19"/>
      <c r="K264" s="153"/>
      <c r="L264" s="61" t="s">
        <v>529</v>
      </c>
      <c r="M264" s="20" t="s">
        <v>36</v>
      </c>
      <c r="N264" s="20"/>
      <c r="O264" s="21"/>
      <c r="P264" s="21"/>
      <c r="Q264" s="21"/>
      <c r="R264" s="21"/>
      <c r="S264" s="21"/>
      <c r="T264" s="21"/>
      <c r="U264" s="20" t="s">
        <v>37</v>
      </c>
      <c r="V264" s="22"/>
      <c r="W264" s="23"/>
      <c r="X264" s="24"/>
      <c r="Y264" s="76" t="s">
        <v>39</v>
      </c>
      <c r="Z264" s="76"/>
      <c r="AA264" s="162" t="s">
        <v>805</v>
      </c>
    </row>
    <row r="265" spans="1:27" ht="15" customHeight="1">
      <c r="A265" s="35" t="s">
        <v>806</v>
      </c>
      <c r="B265" s="35" t="s">
        <v>807</v>
      </c>
      <c r="C265" s="45" t="s">
        <v>688</v>
      </c>
      <c r="D265" s="17" t="str" cm="1">
        <f t="array" ref="D265">_xlfn.TEXTJOIN(", ", TRUE(), _xlfn._xlws.FILTER(Speakers_in_Recordings!$B$2:$B$1502,Speakers_in_Recordings!$A$2:$A$1502=Rcrdngs[[#This Row],[Text]],"[no speaker selected in Speakers_in_Recordings]"))</f>
        <v>SAU_2025_Speaker47</v>
      </c>
      <c r="E265" s="17" t="str" cm="1">
        <f t="array" ref="E265">_xlfn.TEXTJOIN(", ", TRUE(), _xlfn._xlws.FILTER(Sbcts_Rcrdngs[Subject],Sbcts_Rcrdngs[Recording]=Rcrdngs[[#This Row],[Text]],"[no subject selected in Subjects_in_Recordings]"))</f>
        <v>[no subject selected in Subjects_in_Recordings]</v>
      </c>
      <c r="F265" s="18">
        <v>45716</v>
      </c>
      <c r="G265" s="134" t="s">
        <v>808</v>
      </c>
      <c r="H265" s="19" t="s">
        <v>274</v>
      </c>
      <c r="I265" s="19" t="s">
        <v>46</v>
      </c>
      <c r="J265" s="19"/>
      <c r="K265" s="153"/>
      <c r="L265" s="61" t="s">
        <v>529</v>
      </c>
      <c r="M265" s="20" t="s">
        <v>36</v>
      </c>
      <c r="N265" s="20"/>
      <c r="O265" s="21"/>
      <c r="P265" s="21"/>
      <c r="Q265" s="21"/>
      <c r="R265" s="21"/>
      <c r="S265" s="21"/>
      <c r="T265" s="21"/>
      <c r="U265" s="20" t="s">
        <v>809</v>
      </c>
      <c r="V265" s="22"/>
      <c r="W265" s="23"/>
      <c r="X265" s="24"/>
      <c r="Y265" s="76" t="s">
        <v>39</v>
      </c>
      <c r="Z265" s="76"/>
      <c r="AA265" s="162" t="s">
        <v>810</v>
      </c>
    </row>
    <row r="266" spans="1:27" ht="15" customHeight="1">
      <c r="A266" s="35" t="s">
        <v>807</v>
      </c>
      <c r="B266" s="35" t="s">
        <v>811</v>
      </c>
      <c r="C266" s="45" t="s">
        <v>688</v>
      </c>
      <c r="D266" s="17" t="str" cm="1">
        <f t="array" ref="D266">_xlfn.TEXTJOIN(", ", TRUE(), _xlfn._xlws.FILTER(Speakers_in_Recordings!$B$2:$B$1502,Speakers_in_Recordings!$A$2:$A$1502=Rcrdngs[[#This Row],[Text]],"[no speaker selected in Speakers_in_Recordings]"))</f>
        <v>SAU_2025_Speaker47</v>
      </c>
      <c r="E266" s="17" t="str" cm="1">
        <f t="array" ref="E266">_xlfn.TEXTJOIN(", ", TRUE(), _xlfn._xlws.FILTER(Sbcts_Rcrdngs[Subject],Sbcts_Rcrdngs[Recording]=Rcrdngs[[#This Row],[Text]],"[no subject selected in Subjects_in_Recordings]"))</f>
        <v>[no subject selected in Subjects_in_Recordings]</v>
      </c>
      <c r="F266" s="18">
        <v>45716</v>
      </c>
      <c r="G266" s="134" t="s">
        <v>417</v>
      </c>
      <c r="H266" s="19" t="s">
        <v>274</v>
      </c>
      <c r="I266" s="19" t="s">
        <v>46</v>
      </c>
      <c r="J266" s="19"/>
      <c r="K266" s="153"/>
      <c r="L266" s="61" t="s">
        <v>529</v>
      </c>
      <c r="M266" s="20" t="s">
        <v>36</v>
      </c>
      <c r="N266" s="20"/>
      <c r="O266" s="21"/>
      <c r="P266" s="21"/>
      <c r="Q266" s="21"/>
      <c r="R266" s="21"/>
      <c r="S266" s="21"/>
      <c r="T266" s="21"/>
      <c r="U266" s="20" t="s">
        <v>809</v>
      </c>
      <c r="V266" s="22"/>
      <c r="W266" s="23"/>
      <c r="X266" s="24"/>
      <c r="Y266" s="76" t="s">
        <v>39</v>
      </c>
      <c r="Z266" s="76"/>
      <c r="AA266" s="162" t="s">
        <v>812</v>
      </c>
    </row>
    <row r="267" spans="1:27" ht="15" customHeight="1">
      <c r="A267" s="35" t="s">
        <v>811</v>
      </c>
      <c r="B267" s="27"/>
      <c r="C267" s="45" t="s">
        <v>688</v>
      </c>
      <c r="D267" s="17" t="str" cm="1">
        <f t="array" ref="D267">_xlfn.TEXTJOIN(", ", TRUE(), _xlfn._xlws.FILTER(Speakers_in_Recordings!$B$2:$B$1502,Speakers_in_Recordings!$A$2:$A$1502=Rcrdngs[[#This Row],[Text]],"[no speaker selected in Speakers_in_Recordings]"))</f>
        <v>SAU_2025_Speaker47</v>
      </c>
      <c r="E267" s="17" t="str" cm="1">
        <f t="array" ref="E267">_xlfn.TEXTJOIN(", ", TRUE(), _xlfn._xlws.FILTER(Sbcts_Rcrdngs[Subject],Sbcts_Rcrdngs[Recording]=Rcrdngs[[#This Row],[Text]],"[no subject selected in Subjects_in_Recordings]"))</f>
        <v>[no subject selected in Subjects_in_Recordings]</v>
      </c>
      <c r="F267" s="18">
        <v>45716</v>
      </c>
      <c r="G267" s="134" t="s">
        <v>813</v>
      </c>
      <c r="H267" s="19" t="s">
        <v>274</v>
      </c>
      <c r="I267" s="19" t="s">
        <v>46</v>
      </c>
      <c r="J267" s="19"/>
      <c r="K267" s="153"/>
      <c r="L267" s="61" t="s">
        <v>529</v>
      </c>
      <c r="M267" s="20" t="s">
        <v>36</v>
      </c>
      <c r="N267" s="20"/>
      <c r="O267" s="21"/>
      <c r="P267" s="21"/>
      <c r="Q267" s="21"/>
      <c r="R267" s="21"/>
      <c r="S267" s="21"/>
      <c r="T267" s="21"/>
      <c r="U267" s="20" t="s">
        <v>809</v>
      </c>
      <c r="V267" s="22"/>
      <c r="W267" s="23"/>
      <c r="X267" s="24"/>
      <c r="Y267" s="76" t="s">
        <v>39</v>
      </c>
      <c r="Z267" s="76"/>
      <c r="AA267" s="162" t="s">
        <v>814</v>
      </c>
    </row>
    <row r="268" spans="1:27" ht="15" customHeight="1">
      <c r="A268" s="35" t="s">
        <v>815</v>
      </c>
      <c r="B268" s="35" t="s">
        <v>816</v>
      </c>
      <c r="C268" s="45" t="s">
        <v>688</v>
      </c>
      <c r="D268" s="17" t="str" cm="1">
        <f t="array" ref="D268">_xlfn.TEXTJOIN(", ", TRUE(), _xlfn._xlws.FILTER(Speakers_in_Recordings!$B$2:$B$1502,Speakers_in_Recordings!$A$2:$A$1502=Rcrdngs[[#This Row],[Text]],"[no speaker selected in Speakers_in_Recordings]"))</f>
        <v>SAU_2025_Speaker47</v>
      </c>
      <c r="E268" s="17" t="str" cm="1">
        <f t="array" ref="E268">_xlfn.TEXTJOIN(", ", TRUE(), _xlfn._xlws.FILTER(Sbcts_Rcrdngs[Subject],Sbcts_Rcrdngs[Recording]=Rcrdngs[[#This Row],[Text]],"[no subject selected in Subjects_in_Recordings]"))</f>
        <v>[no subject selected in Subjects_in_Recordings]</v>
      </c>
      <c r="F268" s="18">
        <v>45715</v>
      </c>
      <c r="G268" s="134" t="s">
        <v>817</v>
      </c>
      <c r="H268" s="19" t="s">
        <v>274</v>
      </c>
      <c r="I268" s="19" t="s">
        <v>46</v>
      </c>
      <c r="J268" s="19"/>
      <c r="K268" s="153"/>
      <c r="L268" s="61" t="s">
        <v>529</v>
      </c>
      <c r="M268" s="20" t="s">
        <v>36</v>
      </c>
      <c r="N268" s="20"/>
      <c r="O268" s="21"/>
      <c r="P268" s="21"/>
      <c r="Q268" s="21"/>
      <c r="R268" s="21"/>
      <c r="S268" s="21"/>
      <c r="T268" s="21"/>
      <c r="U268" s="20" t="s">
        <v>809</v>
      </c>
      <c r="V268" s="22"/>
      <c r="W268" s="23"/>
      <c r="X268" s="24"/>
      <c r="Y268" s="76" t="s">
        <v>39</v>
      </c>
      <c r="Z268" s="76"/>
      <c r="AA268" s="162" t="s">
        <v>818</v>
      </c>
    </row>
    <row r="269" spans="1:27" ht="15" customHeight="1">
      <c r="A269" s="35" t="s">
        <v>816</v>
      </c>
      <c r="B269" s="35" t="s">
        <v>819</v>
      </c>
      <c r="C269" s="45" t="s">
        <v>688</v>
      </c>
      <c r="D269" s="17" t="str" cm="1">
        <f t="array" ref="D269">_xlfn.TEXTJOIN(", ", TRUE(), _xlfn._xlws.FILTER(Speakers_in_Recordings!$B$2:$B$1502,Speakers_in_Recordings!$A$2:$A$1502=Rcrdngs[[#This Row],[Text]],"[no speaker selected in Speakers_in_Recordings]"))</f>
        <v>SAU_2025_Speaker47</v>
      </c>
      <c r="E269" s="17" t="str" cm="1">
        <f t="array" ref="E269">_xlfn.TEXTJOIN(", ", TRUE(), _xlfn._xlws.FILTER(Sbcts_Rcrdngs[Subject],Sbcts_Rcrdngs[Recording]=Rcrdngs[[#This Row],[Text]],"[no subject selected in Subjects_in_Recordings]"))</f>
        <v>[no subject selected in Subjects_in_Recordings]</v>
      </c>
      <c r="F269" s="18">
        <v>45715</v>
      </c>
      <c r="G269" s="134" t="s">
        <v>820</v>
      </c>
      <c r="H269" s="19" t="s">
        <v>274</v>
      </c>
      <c r="I269" s="19" t="s">
        <v>46</v>
      </c>
      <c r="J269" s="19"/>
      <c r="K269" s="153"/>
      <c r="L269" s="61" t="s">
        <v>529</v>
      </c>
      <c r="M269" s="20" t="s">
        <v>36</v>
      </c>
      <c r="N269" s="20"/>
      <c r="O269" s="21"/>
      <c r="P269" s="21"/>
      <c r="Q269" s="21"/>
      <c r="R269" s="21"/>
      <c r="S269" s="21"/>
      <c r="T269" s="21"/>
      <c r="U269" s="20" t="s">
        <v>809</v>
      </c>
      <c r="V269" s="22"/>
      <c r="W269" s="23"/>
      <c r="X269" s="24"/>
      <c r="Y269" s="76" t="s">
        <v>39</v>
      </c>
      <c r="Z269" s="76"/>
      <c r="AA269" s="162" t="s">
        <v>821</v>
      </c>
    </row>
    <row r="270" spans="1:27" ht="15" customHeight="1">
      <c r="A270" s="35" t="s">
        <v>819</v>
      </c>
      <c r="B270" s="145" t="s">
        <v>822</v>
      </c>
      <c r="C270" s="45" t="s">
        <v>688</v>
      </c>
      <c r="D270" s="17" t="str" cm="1">
        <f t="array" ref="D270">_xlfn.TEXTJOIN(", ", TRUE(), _xlfn._xlws.FILTER(Speakers_in_Recordings!$B$2:$B$1502,Speakers_in_Recordings!$A$2:$A$1502=Rcrdngs[[#This Row],[Text]],"[no speaker selected in Speakers_in_Recordings]"))</f>
        <v>SAU_2025_Speaker47</v>
      </c>
      <c r="E270" s="17" t="str" cm="1">
        <f t="array" ref="E270">_xlfn.TEXTJOIN(", ", TRUE(), _xlfn._xlws.FILTER(Sbcts_Rcrdngs[Subject],Sbcts_Rcrdngs[Recording]=Rcrdngs[[#This Row],[Text]],"[no subject selected in Subjects_in_Recordings]"))</f>
        <v>[no subject selected in Subjects_in_Recordings]</v>
      </c>
      <c r="F270" s="18">
        <v>45715</v>
      </c>
      <c r="G270" s="134" t="s">
        <v>823</v>
      </c>
      <c r="H270" s="19" t="s">
        <v>274</v>
      </c>
      <c r="I270" s="19" t="s">
        <v>46</v>
      </c>
      <c r="J270" s="19"/>
      <c r="K270" s="153"/>
      <c r="L270" s="61" t="s">
        <v>529</v>
      </c>
      <c r="M270" s="20" t="s">
        <v>36</v>
      </c>
      <c r="N270" s="20"/>
      <c r="O270" s="21"/>
      <c r="P270" s="21"/>
      <c r="Q270" s="21"/>
      <c r="R270" s="21"/>
      <c r="S270" s="21"/>
      <c r="T270" s="21"/>
      <c r="U270" s="20" t="s">
        <v>809</v>
      </c>
      <c r="V270" s="22"/>
      <c r="W270" s="23"/>
      <c r="X270" s="24"/>
      <c r="Y270" s="76" t="s">
        <v>39</v>
      </c>
      <c r="Z270" s="76"/>
      <c r="AA270" s="162" t="s">
        <v>824</v>
      </c>
    </row>
    <row r="271" spans="1:27" ht="15" customHeight="1">
      <c r="A271" s="35" t="s">
        <v>822</v>
      </c>
      <c r="B271" s="145" t="s">
        <v>825</v>
      </c>
      <c r="C271" s="45" t="s">
        <v>688</v>
      </c>
      <c r="D271" s="17" t="str" cm="1">
        <f t="array" ref="D271">_xlfn.TEXTJOIN(", ", TRUE(), _xlfn._xlws.FILTER(Speakers_in_Recordings!$B$2:$B$1502,Speakers_in_Recordings!$A$2:$A$1502=Rcrdngs[[#This Row],[Text]],"[no speaker selected in Speakers_in_Recordings]"))</f>
        <v>SAU_2025_Speaker47</v>
      </c>
      <c r="E271" s="17" t="str" cm="1">
        <f t="array" ref="E271">_xlfn.TEXTJOIN(", ", TRUE(), _xlfn._xlws.FILTER(Sbcts_Rcrdngs[Subject],Sbcts_Rcrdngs[Recording]=Rcrdngs[[#This Row],[Text]],"[no subject selected in Subjects_in_Recordings]"))</f>
        <v>[no subject selected in Subjects_in_Recordings]</v>
      </c>
      <c r="F271" s="18">
        <v>45715</v>
      </c>
      <c r="G271" s="134" t="s">
        <v>826</v>
      </c>
      <c r="H271" s="19" t="s">
        <v>274</v>
      </c>
      <c r="I271" s="19" t="s">
        <v>46</v>
      </c>
      <c r="J271" s="19"/>
      <c r="K271" s="153"/>
      <c r="L271" s="61" t="s">
        <v>529</v>
      </c>
      <c r="M271" s="20" t="s">
        <v>36</v>
      </c>
      <c r="N271" s="20"/>
      <c r="O271" s="21"/>
      <c r="P271" s="21"/>
      <c r="Q271" s="21"/>
      <c r="R271" s="21"/>
      <c r="S271" s="21"/>
      <c r="T271" s="21"/>
      <c r="U271" s="20" t="s">
        <v>809</v>
      </c>
      <c r="V271" s="22"/>
      <c r="W271" s="23"/>
      <c r="X271" s="24"/>
      <c r="Y271" s="76" t="s">
        <v>39</v>
      </c>
      <c r="Z271" s="76"/>
      <c r="AA271" s="162" t="s">
        <v>827</v>
      </c>
    </row>
    <row r="272" spans="1:27" ht="15" customHeight="1">
      <c r="A272" s="35" t="s">
        <v>825</v>
      </c>
      <c r="B272" s="27"/>
      <c r="C272" s="45"/>
      <c r="D272" s="17" t="str" cm="1">
        <f t="array" ref="D272">_xlfn.TEXTJOIN(", ", TRUE(), _xlfn._xlws.FILTER(Speakers_in_Recordings!$B$2:$B$1502,Speakers_in_Recordings!$A$2:$A$1502=Rcrdngs[[#This Row],[Text]],"[no speaker selected in Speakers_in_Recordings]"))</f>
        <v>SAU_2025_Speaker47</v>
      </c>
      <c r="E272" s="17" t="str" cm="1">
        <f t="array" ref="E272">_xlfn.TEXTJOIN(", ", TRUE(), _xlfn._xlws.FILTER(Sbcts_Rcrdngs[Subject],Sbcts_Rcrdngs[Recording]=Rcrdngs[[#This Row],[Text]],"[no subject selected in Subjects_in_Recordings]"))</f>
        <v>[no subject selected in Subjects_in_Recordings]</v>
      </c>
      <c r="F272" s="18">
        <v>45715</v>
      </c>
      <c r="G272" s="134" t="s">
        <v>828</v>
      </c>
      <c r="H272" s="19" t="s">
        <v>274</v>
      </c>
      <c r="I272" s="19" t="s">
        <v>46</v>
      </c>
      <c r="J272" s="19"/>
      <c r="K272" s="153"/>
      <c r="L272" s="61" t="s">
        <v>529</v>
      </c>
      <c r="M272" s="20" t="s">
        <v>36</v>
      </c>
      <c r="N272" s="20"/>
      <c r="O272" s="21"/>
      <c r="P272" s="21"/>
      <c r="Q272" s="21"/>
      <c r="R272" s="21"/>
      <c r="S272" s="21"/>
      <c r="T272" s="21"/>
      <c r="U272" s="20" t="s">
        <v>809</v>
      </c>
      <c r="V272" s="22"/>
      <c r="W272" s="23"/>
      <c r="X272" s="24"/>
      <c r="Y272" s="76" t="s">
        <v>39</v>
      </c>
      <c r="Z272" s="76"/>
      <c r="AA272" s="162" t="s">
        <v>829</v>
      </c>
    </row>
    <row r="273" spans="1:27" ht="15" customHeight="1">
      <c r="A273" s="35"/>
      <c r="B273" s="27"/>
      <c r="C273" s="45"/>
      <c r="D273" s="17" t="str" cm="1">
        <f t="array" ref="D273">_xlfn.TEXTJOIN(", ", TRUE(), _xlfn._xlws.FILTER(Speakers_in_Recordings!$B$2:$B$1502,Speakers_in_Recordings!$A$2:$A$1502=Rcrdngs[[#This Row],[Text]],"[no speaker selected in Speakers_in_Recordings]"))</f>
        <v/>
      </c>
      <c r="E273" s="17" t="str" cm="1">
        <f t="array" ref="E273">_xlfn.TEXTJOIN(", ", TRUE(), _xlfn._xlws.FILTER(Sbcts_Rcrdngs[Subject],Sbcts_Rcrdngs[Recording]=Rcrdngs[[#This Row],[Text]],"[no subject selected in Subjects_in_Recordings]"))</f>
        <v/>
      </c>
      <c r="F273" s="18"/>
      <c r="G273" s="19"/>
      <c r="H273" s="19"/>
      <c r="I273" s="19"/>
      <c r="J273" s="19"/>
      <c r="K273" s="153"/>
      <c r="L273" s="61"/>
      <c r="M273" s="20"/>
      <c r="N273" s="20"/>
      <c r="O273" s="21"/>
      <c r="P273" s="21"/>
      <c r="Q273" s="21"/>
      <c r="R273" s="21"/>
      <c r="S273" s="21"/>
      <c r="T273" s="21"/>
      <c r="U273" s="20"/>
      <c r="V273" s="22"/>
      <c r="W273" s="23"/>
      <c r="X273" s="24"/>
      <c r="Y273" s="76"/>
      <c r="Z273" s="76"/>
      <c r="AA273" s="162"/>
    </row>
    <row r="274" spans="1:27" ht="15" customHeight="1">
      <c r="A274" s="35"/>
      <c r="B274" s="27"/>
      <c r="C274" s="45"/>
      <c r="D274" s="17" t="str" cm="1">
        <f t="array" ref="D274">_xlfn.TEXTJOIN(", ", TRUE(), _xlfn._xlws.FILTER(Speakers_in_Recordings!$B$2:$B$1502,Speakers_in_Recordings!$A$2:$A$1502=Rcrdngs[[#This Row],[Text]],"[no speaker selected in Speakers_in_Recordings]"))</f>
        <v/>
      </c>
      <c r="E274" s="17" t="str" cm="1">
        <f t="array" ref="E274">_xlfn.TEXTJOIN(", ", TRUE(), _xlfn._xlws.FILTER(Sbcts_Rcrdngs[Subject],Sbcts_Rcrdngs[Recording]=Rcrdngs[[#This Row],[Text]],"[no subject selected in Subjects_in_Recordings]"))</f>
        <v/>
      </c>
      <c r="F274" s="18"/>
      <c r="G274" s="19"/>
      <c r="H274" s="19"/>
      <c r="I274" s="19"/>
      <c r="J274" s="19"/>
      <c r="K274" s="153"/>
      <c r="L274" s="61"/>
      <c r="M274" s="20"/>
      <c r="N274" s="20"/>
      <c r="O274" s="21"/>
      <c r="P274" s="21"/>
      <c r="Q274" s="21"/>
      <c r="R274" s="21"/>
      <c r="S274" s="21"/>
      <c r="T274" s="21"/>
      <c r="U274" s="20"/>
      <c r="V274" s="22"/>
      <c r="W274" s="23"/>
      <c r="X274" s="24"/>
      <c r="Y274" s="76"/>
      <c r="Z274" s="76"/>
      <c r="AA274" s="162"/>
    </row>
    <row r="275" spans="1:27" ht="15" customHeight="1">
      <c r="A275" s="35"/>
      <c r="B275" s="27"/>
      <c r="C275" s="45"/>
      <c r="D275" s="17" t="str" cm="1">
        <f t="array" ref="D275">_xlfn.TEXTJOIN(", ", TRUE(), _xlfn._xlws.FILTER(Speakers_in_Recordings!$B$2:$B$1502,Speakers_in_Recordings!$A$2:$A$1502=Rcrdngs[[#This Row],[Text]],"[no speaker selected in Speakers_in_Recordings]"))</f>
        <v/>
      </c>
      <c r="E275" s="17" t="str" cm="1">
        <f t="array" ref="E275">_xlfn.TEXTJOIN(", ", TRUE(), _xlfn._xlws.FILTER(Sbcts_Rcrdngs[Subject],Sbcts_Rcrdngs[Recording]=Rcrdngs[[#This Row],[Text]],"[no subject selected in Subjects_in_Recordings]"))</f>
        <v/>
      </c>
      <c r="F275" s="18"/>
      <c r="G275" s="19"/>
      <c r="H275" s="19"/>
      <c r="I275" s="19"/>
      <c r="J275" s="19"/>
      <c r="K275" s="153"/>
      <c r="L275" s="61"/>
      <c r="M275" s="20"/>
      <c r="N275" s="20"/>
      <c r="O275" s="21"/>
      <c r="P275" s="21"/>
      <c r="Q275" s="21"/>
      <c r="R275" s="21"/>
      <c r="S275" s="21"/>
      <c r="T275" s="21"/>
      <c r="U275" s="20"/>
      <c r="V275" s="22"/>
      <c r="W275" s="23"/>
      <c r="X275" s="24"/>
      <c r="Y275" s="76"/>
      <c r="Z275" s="76"/>
      <c r="AA275" s="162"/>
    </row>
    <row r="276" spans="1:27" ht="15" customHeight="1">
      <c r="A276" s="35"/>
      <c r="B276" s="27"/>
      <c r="C276" s="45"/>
      <c r="D276" s="17" t="str" cm="1">
        <f t="array" ref="D276">_xlfn.TEXTJOIN(", ", TRUE(), _xlfn._xlws.FILTER(Speakers_in_Recordings!$B$2:$B$1502,Speakers_in_Recordings!$A$2:$A$1502=Rcrdngs[[#This Row],[Text]],"[no speaker selected in Speakers_in_Recordings]"))</f>
        <v/>
      </c>
      <c r="E276" s="17" t="str" cm="1">
        <f t="array" ref="E276">_xlfn.TEXTJOIN(", ", TRUE(), _xlfn._xlws.FILTER(Sbcts_Rcrdngs[Subject],Sbcts_Rcrdngs[Recording]=Rcrdngs[[#This Row],[Text]],"[no subject selected in Subjects_in_Recordings]"))</f>
        <v/>
      </c>
      <c r="F276" s="18"/>
      <c r="G276" s="19"/>
      <c r="H276" s="19"/>
      <c r="I276" s="19"/>
      <c r="J276" s="19"/>
      <c r="K276" s="153"/>
      <c r="L276" s="61"/>
      <c r="M276" s="20"/>
      <c r="N276" s="20"/>
      <c r="O276" s="21"/>
      <c r="P276" s="21"/>
      <c r="Q276" s="21"/>
      <c r="R276" s="21"/>
      <c r="S276" s="21"/>
      <c r="T276" s="21"/>
      <c r="U276" s="20"/>
      <c r="V276" s="22"/>
      <c r="W276" s="23"/>
      <c r="X276" s="24"/>
      <c r="Y276" s="76"/>
      <c r="Z276" s="76"/>
      <c r="AA276" s="162"/>
    </row>
    <row r="277" spans="1:27" ht="15" customHeight="1">
      <c r="A277" s="138" t="s">
        <v>830</v>
      </c>
      <c r="B277" s="81"/>
      <c r="C277" s="28" t="s">
        <v>831</v>
      </c>
      <c r="D277" s="17" t="str" cm="1">
        <f t="array" ref="D277">_xlfn.TEXTJOIN(", ", TRUE(), _xlfn._xlws.FILTER(Speakers_in_Recordings!$B$2:$B$1502,Speakers_in_Recordings!$A$2:$A$1502=Rcrdngs[[#This Row],[Text]],"[no speaker selected in Speakers_in_Recordings]"))</f>
        <v>LEB_KAR_2023_NZ_M.73_Speaker1</v>
      </c>
      <c r="E277" s="17" t="str" cm="1">
        <f t="array" ref="E277">_xlfn.TEXTJOIN(", ", TRUE(), _xlfn._xlws.FILTER(Sbcts_Rcrdngs[Subject],Sbcts_Rcrdngs[Recording]=Rcrdngs[[#This Row],[Text]],"[no subject selected in Subjects_in_Recordings]"))</f>
        <v>Childhood</v>
      </c>
      <c r="F277" s="18">
        <v>45061</v>
      </c>
      <c r="G277" s="19" t="s">
        <v>832</v>
      </c>
      <c r="H277" s="49" t="s">
        <v>31</v>
      </c>
      <c r="I277" s="49" t="s">
        <v>46</v>
      </c>
      <c r="J277" s="49" t="s">
        <v>32</v>
      </c>
      <c r="K277" s="153" t="s">
        <v>33</v>
      </c>
      <c r="L277" s="31" t="s">
        <v>34</v>
      </c>
      <c r="M277" s="20" t="s">
        <v>833</v>
      </c>
      <c r="N277" s="45" t="s">
        <v>833</v>
      </c>
      <c r="O277" s="33" t="s">
        <v>834</v>
      </c>
      <c r="P277" s="21"/>
      <c r="Q277" s="20" t="s">
        <v>833</v>
      </c>
      <c r="R277" s="33" t="s">
        <v>834</v>
      </c>
      <c r="S277" s="21"/>
      <c r="T277" s="21"/>
      <c r="U277" s="20" t="s">
        <v>835</v>
      </c>
      <c r="V277" s="22"/>
      <c r="W277" s="23"/>
      <c r="X277" s="24"/>
      <c r="Y277" s="76" t="s">
        <v>39</v>
      </c>
      <c r="Z277" s="76"/>
      <c r="AA277" s="76" t="str">
        <f ca="1">Rcrdngs[[#This Row],[Title]]&amp;"."&amp;#REF!</f>
        <v>Karantina – NZ (M.73) – First Encounter</v>
      </c>
    </row>
    <row r="278" spans="1:27" ht="15" customHeight="1">
      <c r="A278" s="81" t="s">
        <v>836</v>
      </c>
      <c r="B278" s="81"/>
      <c r="C278" s="28" t="s">
        <v>831</v>
      </c>
      <c r="D278" s="17" t="str" cm="1">
        <f t="array" ref="D278">_xlfn.TEXTJOIN(", ", TRUE(), _xlfn._xlws.FILTER(Speakers_in_Recordings!$B$2:$B$1502,Speakers_in_Recordings!$A$2:$A$1502=Rcrdngs[[#This Row],[Text]],"[no speaker selected in Speakers_in_Recordings]"))</f>
        <v>LEB_KAR_2023_NZ_M.73_Speaker1</v>
      </c>
      <c r="E278" s="17" t="str" cm="1">
        <f t="array" ref="E278">_xlfn.TEXTJOIN(", ", TRUE(), _xlfn._xlws.FILTER(Sbcts_Rcrdngs[Subject],Sbcts_Rcrdngs[Recording]=Rcrdngs[[#This Row],[Text]],"[no subject selected in Subjects_in_Recordings]"))</f>
        <v>Marriage</v>
      </c>
      <c r="F278" s="18">
        <v>45061</v>
      </c>
      <c r="G278" s="19" t="s">
        <v>837</v>
      </c>
      <c r="H278" s="49" t="s">
        <v>31</v>
      </c>
      <c r="I278" s="49" t="s">
        <v>46</v>
      </c>
      <c r="J278" s="49" t="s">
        <v>46</v>
      </c>
      <c r="K278" s="153" t="s">
        <v>838</v>
      </c>
      <c r="L278" s="31" t="s">
        <v>34</v>
      </c>
      <c r="M278" s="20" t="s">
        <v>833</v>
      </c>
      <c r="N278" s="45" t="s">
        <v>833</v>
      </c>
      <c r="O278" s="33" t="s">
        <v>834</v>
      </c>
      <c r="P278" s="21"/>
      <c r="Q278" s="20" t="s">
        <v>833</v>
      </c>
      <c r="R278" s="33" t="s">
        <v>834</v>
      </c>
      <c r="S278" s="21"/>
      <c r="T278" s="21"/>
      <c r="U278" s="20" t="s">
        <v>835</v>
      </c>
      <c r="V278" s="22"/>
      <c r="W278" s="23"/>
      <c r="X278" s="24"/>
      <c r="Y278" s="76" t="s">
        <v>39</v>
      </c>
      <c r="Z278" s="76"/>
      <c r="AA278" s="76" t="str">
        <f ca="1">Rcrdngs[[#This Row],[Title]]&amp;"."&amp;#REF!</f>
        <v>Karantina – NZ (M.73) – Bedouin Weddings</v>
      </c>
    </row>
    <row r="279" spans="1:27" ht="15" customHeight="1">
      <c r="A279" s="81" t="s">
        <v>839</v>
      </c>
      <c r="B279" s="81"/>
      <c r="C279" s="28" t="s">
        <v>831</v>
      </c>
      <c r="D279" s="17" t="str" cm="1">
        <f t="array" ref="D279">_xlfn.TEXTJOIN(", ", TRUE(), _xlfn._xlws.FILTER(Speakers_in_Recordings!$B$2:$B$1502,Speakers_in_Recordings!$A$2:$A$1502=Rcrdngs[[#This Row],[Text]],"[no speaker selected in Speakers_in_Recordings]"))</f>
        <v>LEB_KAR_2023_NZ_M.73_Speaker1</v>
      </c>
      <c r="E279" s="17" t="str" cm="1">
        <f t="array" ref="E279">_xlfn.TEXTJOIN(", ", TRUE(), _xlfn._xlws.FILTER(Sbcts_Rcrdngs[Subject],Sbcts_Rcrdngs[Recording]=Rcrdngs[[#This Row],[Text]],"[no subject selected in Subjects_in_Recordings]"))</f>
        <v>History general</v>
      </c>
      <c r="F279" s="18">
        <v>45061</v>
      </c>
      <c r="G279" s="19" t="s">
        <v>840</v>
      </c>
      <c r="H279" s="49" t="s">
        <v>31</v>
      </c>
      <c r="I279" s="49" t="s">
        <v>46</v>
      </c>
      <c r="J279" s="49" t="s">
        <v>46</v>
      </c>
      <c r="K279" s="153" t="s">
        <v>838</v>
      </c>
      <c r="L279" s="31" t="s">
        <v>34</v>
      </c>
      <c r="M279" s="20" t="s">
        <v>833</v>
      </c>
      <c r="N279" s="45" t="s">
        <v>833</v>
      </c>
      <c r="O279" s="33" t="s">
        <v>834</v>
      </c>
      <c r="P279" s="21"/>
      <c r="Q279" s="20" t="s">
        <v>833</v>
      </c>
      <c r="R279" s="33" t="s">
        <v>834</v>
      </c>
      <c r="S279" s="21"/>
      <c r="T279" s="21"/>
      <c r="U279" s="20" t="s">
        <v>835</v>
      </c>
      <c r="V279" s="22"/>
      <c r="W279" s="23"/>
      <c r="X279" s="24"/>
      <c r="Y279" s="76" t="s">
        <v>39</v>
      </c>
      <c r="Z279" s="76"/>
      <c r="AA279" s="76" t="str">
        <f ca="1">Rcrdngs[[#This Row],[Title]]&amp;"."&amp;#REF!</f>
        <v>Karantina – NZ (M.73) – History of Karantina</v>
      </c>
    </row>
    <row r="280" spans="1:27" ht="15" customHeight="1">
      <c r="A280" s="81" t="s">
        <v>841</v>
      </c>
      <c r="B280" s="27"/>
      <c r="C280" s="28" t="s">
        <v>831</v>
      </c>
      <c r="D280" s="17" t="str" cm="1">
        <f t="array" ref="D280">_xlfn.TEXTJOIN(", ", TRUE(), _xlfn._xlws.FILTER(Speakers_in_Recordings!$B$2:$B$1502,Speakers_in_Recordings!$A$2:$A$1502=Rcrdngs[[#This Row],[Text]],"[no speaker selected in Speakers_in_Recordings]"))</f>
        <v>LEB_KAR_2023_NZ_M.73_Speaker1, AID</v>
      </c>
      <c r="E280" s="17" t="str" cm="1">
        <f t="array" ref="E280">_xlfn.TEXTJOIN(", ", TRUE(), _xlfn._xlws.FILTER(Sbcts_Rcrdngs[Subject],Sbcts_Rcrdngs[Recording]=Rcrdngs[[#This Row],[Text]],"[no subject selected in Subjects_in_Recordings]"))</f>
        <v>Visual elicitation</v>
      </c>
      <c r="F280" s="29">
        <v>45062</v>
      </c>
      <c r="G280" s="19" t="s">
        <v>842</v>
      </c>
      <c r="H280" s="49" t="s">
        <v>31</v>
      </c>
      <c r="I280" s="49" t="s">
        <v>46</v>
      </c>
      <c r="J280" s="49" t="s">
        <v>32</v>
      </c>
      <c r="K280" s="153" t="s">
        <v>33</v>
      </c>
      <c r="L280" s="31" t="s">
        <v>34</v>
      </c>
      <c r="M280" s="20" t="s">
        <v>833</v>
      </c>
      <c r="N280" s="45" t="s">
        <v>833</v>
      </c>
      <c r="O280" s="33" t="s">
        <v>834</v>
      </c>
      <c r="P280" s="33"/>
      <c r="Q280" s="20" t="s">
        <v>833</v>
      </c>
      <c r="R280" s="33" t="s">
        <v>834</v>
      </c>
      <c r="S280" s="33"/>
      <c r="T280" s="33"/>
      <c r="U280" s="20" t="s">
        <v>835</v>
      </c>
      <c r="V280" s="22"/>
      <c r="W280" s="23"/>
      <c r="X280" s="34"/>
      <c r="Y280" s="76" t="s">
        <v>87</v>
      </c>
      <c r="Z280" s="76"/>
      <c r="AA280" s="76" t="str">
        <f ca="1">Rcrdngs[[#This Row],[Title]]&amp;"."&amp;#REF!</f>
        <v>Karantina – NZ (M.73) – Pictures</v>
      </c>
    </row>
    <row r="281" spans="1:27" ht="15" customHeight="1">
      <c r="A281" s="81" t="s">
        <v>843</v>
      </c>
      <c r="B281" s="27"/>
      <c r="C281" s="28" t="s">
        <v>831</v>
      </c>
      <c r="D281" s="17" t="str" cm="1">
        <f t="array" ref="D281">_xlfn.TEXTJOIN(", ", TRUE(), _xlfn._xlws.FILTER(Speakers_in_Recordings!$B$2:$B$1502,Speakers_in_Recordings!$A$2:$A$1502=Rcrdngs[[#This Row],[Text]],"[no speaker selected in Speakers_in_Recordings]"))</f>
        <v>LEB_KAR_2023_NZ_M.73_Speaker1</v>
      </c>
      <c r="E281" s="17" t="str" cm="1">
        <f t="array" ref="E281">_xlfn.TEXTJOIN(", ", TRUE(), _xlfn._xlws.FILTER(Sbcts_Rcrdngs[Subject],Sbcts_Rcrdngs[Recording]=Rcrdngs[[#This Row],[Text]],"[no subject selected in Subjects_in_Recordings]"))</f>
        <v>Cheikhs and eldest</v>
      </c>
      <c r="F281" s="29">
        <v>45062</v>
      </c>
      <c r="G281" s="19" t="s">
        <v>844</v>
      </c>
      <c r="H281" s="49" t="s">
        <v>31</v>
      </c>
      <c r="I281" s="49" t="s">
        <v>46</v>
      </c>
      <c r="J281" s="49" t="s">
        <v>32</v>
      </c>
      <c r="K281" s="153" t="s">
        <v>33</v>
      </c>
      <c r="L281" s="31" t="s">
        <v>34</v>
      </c>
      <c r="M281" s="20" t="s">
        <v>833</v>
      </c>
      <c r="N281" s="45" t="s">
        <v>833</v>
      </c>
      <c r="O281" s="33" t="s">
        <v>834</v>
      </c>
      <c r="P281" s="33"/>
      <c r="Q281" s="20" t="s">
        <v>833</v>
      </c>
      <c r="R281" s="33" t="s">
        <v>834</v>
      </c>
      <c r="S281" s="33"/>
      <c r="T281" s="33"/>
      <c r="U281" s="20" t="s">
        <v>835</v>
      </c>
      <c r="V281" s="22"/>
      <c r="W281" s="23"/>
      <c r="X281" s="34"/>
      <c r="Y281" s="76" t="s">
        <v>39</v>
      </c>
      <c r="Z281" s="76"/>
      <c r="AA281" s="76" t="str">
        <f ca="1">Rcrdngs[[#This Row],[Title]]&amp;"."&amp;#REF!</f>
        <v>Karantina – NZ (M.73) – Shyux(a)</v>
      </c>
    </row>
    <row r="282" spans="1:27" ht="15" customHeight="1">
      <c r="A282" s="81" t="s">
        <v>845</v>
      </c>
      <c r="B282" s="27"/>
      <c r="C282" s="28" t="s">
        <v>831</v>
      </c>
      <c r="D282" s="17" t="str" cm="1">
        <f t="array" ref="D282">_xlfn.TEXTJOIN(", ", TRUE(), _xlfn._xlws.FILTER(Speakers_in_Recordings!$B$2:$B$1502,Speakers_in_Recordings!$A$2:$A$1502=Rcrdngs[[#This Row],[Text]],"[no speaker selected in Speakers_in_Recordings]"))</f>
        <v>LEB_KAR_2023_NZ_M.73_Speaker1, AID</v>
      </c>
      <c r="E282" s="17" t="str" cm="1">
        <f t="array" ref="E282">_xlfn.TEXTJOIN(", ", TRUE(), _xlfn._xlws.FILTER(Sbcts_Rcrdngs[Subject],Sbcts_Rcrdngs[Recording]=Rcrdngs[[#This Row],[Text]],"[no subject selected in Subjects_in_Recordings]"))</f>
        <v>Stories, jokes and tales</v>
      </c>
      <c r="F282" s="29">
        <v>45062</v>
      </c>
      <c r="G282" s="19" t="s">
        <v>846</v>
      </c>
      <c r="H282" s="49" t="s">
        <v>31</v>
      </c>
      <c r="I282" s="49" t="s">
        <v>46</v>
      </c>
      <c r="J282" s="49" t="s">
        <v>32</v>
      </c>
      <c r="K282" s="153" t="s">
        <v>33</v>
      </c>
      <c r="L282" s="31" t="s">
        <v>34</v>
      </c>
      <c r="M282" s="20" t="s">
        <v>833</v>
      </c>
      <c r="N282" s="45" t="s">
        <v>833</v>
      </c>
      <c r="O282" s="33" t="s">
        <v>834</v>
      </c>
      <c r="P282" s="33"/>
      <c r="Q282" s="20" t="s">
        <v>833</v>
      </c>
      <c r="R282" s="33" t="s">
        <v>834</v>
      </c>
      <c r="S282" s="33"/>
      <c r="T282" s="33"/>
      <c r="U282" s="20" t="s">
        <v>835</v>
      </c>
      <c r="V282" s="22"/>
      <c r="W282" s="23"/>
      <c r="X282" s="34"/>
      <c r="Y282" s="76" t="s">
        <v>87</v>
      </c>
      <c r="Z282" s="76"/>
      <c r="AA282" s="76" t="str">
        <f ca="1">Rcrdngs[[#This Row],[Title]]&amp;"."&amp;#REF!</f>
        <v>Karantina – NZ (M.73) – Elicitation: IMP Story (Bedouin Man)</v>
      </c>
    </row>
    <row r="283" spans="1:27" ht="15" customHeight="1">
      <c r="A283" s="81" t="s">
        <v>847</v>
      </c>
      <c r="B283" s="27"/>
      <c r="C283" s="28" t="s">
        <v>831</v>
      </c>
      <c r="D283" s="17" t="str" cm="1">
        <f t="array" ref="D283">_xlfn.TEXTJOIN(", ", TRUE(), _xlfn._xlws.FILTER(Speakers_in_Recordings!$B$2:$B$1502,Speakers_in_Recordings!$A$2:$A$1502=Rcrdngs[[#This Row],[Text]],"[no speaker selected in Speakers_in_Recordings]"))</f>
        <v>LEB_KAR_2023_NZ_M.73_Speaker1, AID</v>
      </c>
      <c r="E283" s="17" t="str" cm="1">
        <f t="array" ref="E283">_xlfn.TEXTJOIN(", ", TRUE(), _xlfn._xlws.FILTER(Sbcts_Rcrdngs[Subject],Sbcts_Rcrdngs[Recording]=Rcrdngs[[#This Row],[Text]],"[no subject selected in Subjects_in_Recordings]"))</f>
        <v>Rural vs city life</v>
      </c>
      <c r="F283" s="29">
        <v>45062</v>
      </c>
      <c r="G283" s="19" t="s">
        <v>848</v>
      </c>
      <c r="H283" s="49" t="s">
        <v>31</v>
      </c>
      <c r="I283" s="49" t="s">
        <v>46</v>
      </c>
      <c r="J283" s="49" t="s">
        <v>32</v>
      </c>
      <c r="K283" s="153" t="s">
        <v>33</v>
      </c>
      <c r="L283" s="31" t="s">
        <v>34</v>
      </c>
      <c r="M283" s="20" t="s">
        <v>833</v>
      </c>
      <c r="N283" s="45" t="s">
        <v>833</v>
      </c>
      <c r="O283" s="33" t="s">
        <v>834</v>
      </c>
      <c r="P283" s="33"/>
      <c r="Q283" s="20" t="s">
        <v>833</v>
      </c>
      <c r="R283" s="33" t="s">
        <v>834</v>
      </c>
      <c r="S283" s="33"/>
      <c r="T283" s="33"/>
      <c r="U283" s="20" t="s">
        <v>835</v>
      </c>
      <c r="V283" s="22"/>
      <c r="W283" s="23"/>
      <c r="X283" s="34"/>
      <c r="Y283" s="76" t="s">
        <v>39</v>
      </c>
      <c r="Z283" s="76"/>
      <c r="AA283" s="76" t="str">
        <f ca="1">Rcrdngs[[#This Row],[Title]]&amp;"."&amp;#REF!</f>
        <v>Karantina – NZ (M.73) – Language Use: New Generation – City vs Village</v>
      </c>
    </row>
    <row r="284" spans="1:27" ht="15" customHeight="1">
      <c r="A284" s="81" t="s">
        <v>849</v>
      </c>
      <c r="B284" s="27"/>
      <c r="C284" s="28" t="s">
        <v>831</v>
      </c>
      <c r="D284" s="17" t="str" cm="1">
        <f t="array" ref="D284">_xlfn.TEXTJOIN(", ", TRUE(), _xlfn._xlws.FILTER(Speakers_in_Recordings!$B$2:$B$1502,Speakers_in_Recordings!$A$2:$A$1502=Rcrdngs[[#This Row],[Text]],"[no speaker selected in Speakers_in_Recordings]"))</f>
        <v>LEB_KAR_2023_NZ_M.73_Speaker1</v>
      </c>
      <c r="E284" s="17" t="str" cm="1">
        <f t="array" ref="E284">_xlfn.TEXTJOIN(", ", TRUE(), _xlfn._xlws.FILTER(Sbcts_Rcrdngs[Subject],Sbcts_Rcrdngs[Recording]=Rcrdngs[[#This Row],[Text]],"[no subject selected in Subjects_in_Recordings]"))</f>
        <v>Family</v>
      </c>
      <c r="F284" s="29">
        <v>45062</v>
      </c>
      <c r="G284" s="19" t="s">
        <v>850</v>
      </c>
      <c r="H284" s="49" t="s">
        <v>31</v>
      </c>
      <c r="I284" s="49" t="s">
        <v>46</v>
      </c>
      <c r="J284" s="49" t="s">
        <v>32</v>
      </c>
      <c r="K284" s="153" t="s">
        <v>33</v>
      </c>
      <c r="L284" s="31" t="s">
        <v>34</v>
      </c>
      <c r="M284" s="20" t="s">
        <v>833</v>
      </c>
      <c r="N284" s="45" t="s">
        <v>833</v>
      </c>
      <c r="O284" s="33" t="s">
        <v>834</v>
      </c>
      <c r="P284" s="33"/>
      <c r="Q284" s="20" t="s">
        <v>833</v>
      </c>
      <c r="R284" s="33" t="s">
        <v>834</v>
      </c>
      <c r="S284" s="33"/>
      <c r="T284" s="33"/>
      <c r="U284" s="20" t="s">
        <v>835</v>
      </c>
      <c r="V284" s="22"/>
      <c r="W284" s="23"/>
      <c r="X284" s="34"/>
      <c r="Y284" s="76" t="s">
        <v>39</v>
      </c>
      <c r="Z284" s="76"/>
      <c r="AA284" s="76" t="str">
        <f ca="1">Rcrdngs[[#This Row],[Title]]&amp;"."&amp;#REF!</f>
        <v>Karantina – NZ (M.73) – His Family</v>
      </c>
    </row>
    <row r="285" spans="1:27" ht="15" customHeight="1">
      <c r="A285" s="81" t="s">
        <v>851</v>
      </c>
      <c r="B285" s="27"/>
      <c r="C285" s="32" t="s">
        <v>831</v>
      </c>
      <c r="D285" s="17" t="str" cm="1">
        <f t="array" ref="D285">_xlfn.TEXTJOIN(", ", TRUE(), _xlfn._xlws.FILTER(Speakers_in_Recordings!$B$2:$B$1502,Speakers_in_Recordings!$A$2:$A$1502=Rcrdngs[[#This Row],[Text]],"[no speaker selected in Speakers_in_Recordings]"))</f>
        <v>LEB_KAR_2023_NZ_M.73_Speaker1, AID</v>
      </c>
      <c r="E285" s="17" t="str" cm="1">
        <f t="array" ref="E285">_xlfn.TEXTJOIN(", ", TRUE(), _xlfn._xlws.FILTER(Sbcts_Rcrdngs[Subject],Sbcts_Rcrdngs[Recording]=Rcrdngs[[#This Row],[Text]],"[no subject selected in Subjects_in_Recordings]"))</f>
        <v>Family</v>
      </c>
      <c r="F285" s="29">
        <v>45062</v>
      </c>
      <c r="G285" s="19" t="s">
        <v>158</v>
      </c>
      <c r="H285" s="49" t="s">
        <v>31</v>
      </c>
      <c r="I285" s="49" t="s">
        <v>46</v>
      </c>
      <c r="J285" s="49" t="s">
        <v>32</v>
      </c>
      <c r="K285" s="153" t="s">
        <v>33</v>
      </c>
      <c r="L285" s="31" t="s">
        <v>34</v>
      </c>
      <c r="M285" s="20" t="s">
        <v>833</v>
      </c>
      <c r="N285" s="45" t="s">
        <v>833</v>
      </c>
      <c r="O285" s="33" t="s">
        <v>834</v>
      </c>
      <c r="P285" s="21"/>
      <c r="Q285" s="20" t="s">
        <v>833</v>
      </c>
      <c r="R285" s="33" t="s">
        <v>834</v>
      </c>
      <c r="S285" s="21"/>
      <c r="T285" s="21"/>
      <c r="U285" s="20" t="s">
        <v>835</v>
      </c>
      <c r="V285" s="22"/>
      <c r="W285" s="23"/>
      <c r="X285" s="24"/>
      <c r="Y285" s="76" t="s">
        <v>39</v>
      </c>
      <c r="Z285" s="76"/>
      <c r="AA285" s="76" t="str">
        <f ca="1">Rcrdngs[[#This Row],[Title]]&amp;"."&amp;#REF!</f>
        <v>Karantina – NZ (M.73) – Credit for Son; Wedding Pictures</v>
      </c>
    </row>
    <row r="286" spans="1:27" ht="15" customHeight="1">
      <c r="A286" s="82" t="s">
        <v>852</v>
      </c>
      <c r="B286" s="27"/>
      <c r="C286" s="32" t="s">
        <v>831</v>
      </c>
      <c r="D286" s="17" t="str" cm="1">
        <f t="array" ref="D286">_xlfn.TEXTJOIN(", ", TRUE(), _xlfn._xlws.FILTER(Speakers_in_Recordings!$B$2:$B$1502,Speakers_in_Recordings!$A$2:$A$1502=Rcrdngs[[#This Row],[Text]],"[no speaker selected in Speakers_in_Recordings]"))</f>
        <v>LEB_KAR_2023_NZ_M.73_Speaker1</v>
      </c>
      <c r="E286" s="17" t="str" cm="1">
        <f t="array" ref="E286">_xlfn.TEXTJOIN(", ", TRUE(), _xlfn._xlws.FILTER(Sbcts_Rcrdngs[Subject],Sbcts_Rcrdngs[Recording]=Rcrdngs[[#This Row],[Text]],"[no subject selected in Subjects_in_Recordings]"))</f>
        <v>Markets and food prices</v>
      </c>
      <c r="F286" s="29">
        <v>45062</v>
      </c>
      <c r="G286" s="19" t="s">
        <v>853</v>
      </c>
      <c r="H286" s="49" t="s">
        <v>31</v>
      </c>
      <c r="I286" s="49" t="s">
        <v>46</v>
      </c>
      <c r="J286" s="49" t="s">
        <v>32</v>
      </c>
      <c r="K286" s="153" t="s">
        <v>33</v>
      </c>
      <c r="L286" s="31" t="s">
        <v>34</v>
      </c>
      <c r="M286" s="20" t="s">
        <v>833</v>
      </c>
      <c r="N286" s="20" t="s">
        <v>833</v>
      </c>
      <c r="O286" s="33" t="s">
        <v>834</v>
      </c>
      <c r="P286" s="21"/>
      <c r="Q286" s="20" t="s">
        <v>833</v>
      </c>
      <c r="R286" s="33" t="s">
        <v>834</v>
      </c>
      <c r="S286" s="21"/>
      <c r="T286" s="21"/>
      <c r="U286" s="20" t="s">
        <v>835</v>
      </c>
      <c r="V286" s="22"/>
      <c r="W286" s="23"/>
      <c r="X286" s="24"/>
      <c r="Y286" s="76" t="s">
        <v>39</v>
      </c>
      <c r="Z286" s="76"/>
      <c r="AA286" s="76" t="str">
        <f ca="1">Rcrdngs[[#This Row],[Title]]&amp;"."&amp;#REF!</f>
        <v>Karantina – NZ (M.73) – Garden Plants; Market Vegetables</v>
      </c>
    </row>
    <row r="287" spans="1:27" ht="15" customHeight="1">
      <c r="A287" s="82" t="s">
        <v>854</v>
      </c>
      <c r="B287" s="27"/>
      <c r="C287" s="32" t="s">
        <v>831</v>
      </c>
      <c r="D287" s="17" t="str" cm="1">
        <f t="array" ref="D287">_xlfn.TEXTJOIN(", ", TRUE(), _xlfn._xlws.FILTER(Speakers_in_Recordings!$B$2:$B$1502,Speakers_in_Recordings!$A$2:$A$1502=Rcrdngs[[#This Row],[Text]],"[no speaker selected in Speakers_in_Recordings]"))</f>
        <v>LEB_KAR_2023_NZ_M.73_Speaker1, AID</v>
      </c>
      <c r="E287" s="17" t="str" cm="1">
        <f t="array" ref="E287">_xlfn.TEXTJOIN(", ", TRUE(), _xlfn._xlws.FILTER(Sbcts_Rcrdngs[Subject],Sbcts_Rcrdngs[Recording]=Rcrdngs[[#This Row],[Text]],"[no subject selected in Subjects_in_Recordings]"))</f>
        <v>Language and identity</v>
      </c>
      <c r="F287" s="29">
        <v>45062</v>
      </c>
      <c r="G287" s="19" t="s">
        <v>855</v>
      </c>
      <c r="H287" s="49" t="s">
        <v>31</v>
      </c>
      <c r="I287" s="49" t="s">
        <v>46</v>
      </c>
      <c r="J287" s="49" t="s">
        <v>32</v>
      </c>
      <c r="K287" s="153" t="s">
        <v>33</v>
      </c>
      <c r="L287" s="31" t="s">
        <v>34</v>
      </c>
      <c r="M287" s="20" t="s">
        <v>833</v>
      </c>
      <c r="N287" s="20" t="s">
        <v>833</v>
      </c>
      <c r="O287" s="33" t="s">
        <v>834</v>
      </c>
      <c r="P287" s="21"/>
      <c r="Q287" s="20" t="s">
        <v>833</v>
      </c>
      <c r="R287" s="33" t="s">
        <v>834</v>
      </c>
      <c r="S287" s="21"/>
      <c r="T287" s="21"/>
      <c r="U287" s="20" t="s">
        <v>835</v>
      </c>
      <c r="V287" s="22"/>
      <c r="W287" s="23"/>
      <c r="X287" s="24"/>
      <c r="Y287" s="76" t="s">
        <v>39</v>
      </c>
      <c r="Z287" s="76"/>
      <c r="AA287" s="76" t="str">
        <f ca="1">Rcrdngs[[#This Row],[Title]]&amp;"."&amp;#REF!</f>
        <v>Karantina – NZ (M.73) – History of Karantina (2): Trade; Language; Identity</v>
      </c>
    </row>
    <row r="288" spans="1:27" ht="15" customHeight="1">
      <c r="A288" s="82" t="s">
        <v>856</v>
      </c>
      <c r="B288" s="27"/>
      <c r="C288" s="32" t="s">
        <v>831</v>
      </c>
      <c r="D288" s="17" t="str" cm="1">
        <f t="array" ref="D288">_xlfn.TEXTJOIN(", ", TRUE(), _xlfn._xlws.FILTER(Speakers_in_Recordings!$B$2:$B$1502,Speakers_in_Recordings!$A$2:$A$1502=Rcrdngs[[#This Row],[Text]],"[no speaker selected in Speakers_in_Recordings]"))</f>
        <v>LEB_KAR_2023_NZ_M.73_Speaker1, AID</v>
      </c>
      <c r="E288" s="17" t="str" cm="1">
        <f t="array" ref="E288">_xlfn.TEXTJOIN(", ", TRUE(), _xlfn._xlws.FILTER(Sbcts_Rcrdngs[Subject],Sbcts_Rcrdngs[Recording]=Rcrdngs[[#This Row],[Text]],"[no subject selected in Subjects_in_Recordings]"))</f>
        <v>Cheikhs and eldest</v>
      </c>
      <c r="F288" s="29">
        <v>45062</v>
      </c>
      <c r="G288" s="19" t="s">
        <v>857</v>
      </c>
      <c r="H288" s="49" t="s">
        <v>31</v>
      </c>
      <c r="I288" s="49" t="s">
        <v>46</v>
      </c>
      <c r="J288" s="49" t="s">
        <v>32</v>
      </c>
      <c r="K288" s="153" t="s">
        <v>33</v>
      </c>
      <c r="L288" s="31" t="s">
        <v>34</v>
      </c>
      <c r="M288" s="20" t="s">
        <v>833</v>
      </c>
      <c r="N288" s="20" t="s">
        <v>833</v>
      </c>
      <c r="O288" s="33" t="s">
        <v>834</v>
      </c>
      <c r="P288" s="21"/>
      <c r="Q288" s="20" t="s">
        <v>833</v>
      </c>
      <c r="R288" s="33" t="s">
        <v>834</v>
      </c>
      <c r="S288" s="21"/>
      <c r="T288" s="21"/>
      <c r="U288" s="20" t="s">
        <v>835</v>
      </c>
      <c r="V288" s="22"/>
      <c r="W288" s="23"/>
      <c r="X288" s="24"/>
      <c r="Y288" s="76" t="s">
        <v>39</v>
      </c>
      <c r="Z288" s="76"/>
      <c r="AA288" s="76" t="str">
        <f ca="1">Rcrdngs[[#This Row],[Title]]&amp;"."&amp;#REF!</f>
        <v>Karantina – NZ (M.73) – Manzul/Diwan: Conversations; Religion</v>
      </c>
    </row>
    <row r="289" spans="1:27" ht="15" customHeight="1">
      <c r="A289" s="82" t="s">
        <v>858</v>
      </c>
      <c r="B289" s="27"/>
      <c r="C289" s="32" t="s">
        <v>831</v>
      </c>
      <c r="D289" s="17" t="str" cm="1">
        <f t="array" ref="D289">_xlfn.TEXTJOIN(", ", TRUE(), _xlfn._xlws.FILTER(Speakers_in_Recordings!$B$2:$B$1502,Speakers_in_Recordings!$A$2:$A$1502=Rcrdngs[[#This Row],[Text]],"[no speaker selected in Speakers_in_Recordings]"))</f>
        <v>LEB_KAR_2023_NZ_M.73_Speaker1</v>
      </c>
      <c r="E289" s="17" t="str" cm="1">
        <f t="array" ref="E289">_xlfn.TEXTJOIN(", ", TRUE(), _xlfn._xlws.FILTER(Sbcts_Rcrdngs[Subject],Sbcts_Rcrdngs[Recording]=Rcrdngs[[#This Row],[Text]],"[no subject selected in Subjects_in_Recordings]"))</f>
        <v>Food recipees, Markets and food prices</v>
      </c>
      <c r="F289" s="29">
        <v>45062</v>
      </c>
      <c r="G289" s="19" t="s">
        <v>169</v>
      </c>
      <c r="H289" s="49" t="s">
        <v>31</v>
      </c>
      <c r="I289" s="49" t="s">
        <v>46</v>
      </c>
      <c r="J289" s="49" t="s">
        <v>32</v>
      </c>
      <c r="K289" s="153" t="s">
        <v>33</v>
      </c>
      <c r="L289" s="31" t="s">
        <v>34</v>
      </c>
      <c r="M289" s="20" t="s">
        <v>833</v>
      </c>
      <c r="N289" s="20" t="s">
        <v>833</v>
      </c>
      <c r="O289" s="33" t="s">
        <v>834</v>
      </c>
      <c r="P289" s="21"/>
      <c r="Q289" s="20" t="s">
        <v>833</v>
      </c>
      <c r="R289" s="33" t="s">
        <v>834</v>
      </c>
      <c r="S289" s="21"/>
      <c r="T289" s="21"/>
      <c r="U289" s="20" t="s">
        <v>835</v>
      </c>
      <c r="V289" s="22"/>
      <c r="W289" s="23"/>
      <c r="X289" s="24"/>
      <c r="Y289" s="76" t="s">
        <v>39</v>
      </c>
      <c r="Z289" s="76"/>
      <c r="AA289" s="76" t="str">
        <f ca="1">Rcrdngs[[#This Row],[Title]]&amp;"."&amp;#REF!</f>
        <v>Karantina – NZ (M.73) – Animal Market; Food Preparation</v>
      </c>
    </row>
    <row r="290" spans="1:27" ht="15" customHeight="1">
      <c r="A290" s="82" t="s">
        <v>859</v>
      </c>
      <c r="B290" s="27"/>
      <c r="C290" s="32" t="s">
        <v>831</v>
      </c>
      <c r="D290" s="17" t="str" cm="1">
        <f t="array" ref="D290">_xlfn.TEXTJOIN(", ", TRUE(), _xlfn._xlws.FILTER(Speakers_in_Recordings!$B$2:$B$1502,Speakers_in_Recordings!$A$2:$A$1502=Rcrdngs[[#This Row],[Text]],"[no speaker selected in Speakers_in_Recordings]"))</f>
        <v>LEB_KAR_2023_NZ_M.73_Speaker1, AID</v>
      </c>
      <c r="E290" s="17" t="str" cm="1">
        <f t="array" ref="E290">_xlfn.TEXTJOIN(", ", TRUE(), _xlfn._xlws.FILTER(Sbcts_Rcrdngs[Subject],Sbcts_Rcrdngs[Recording]=Rcrdngs[[#This Row],[Text]],"[no subject selected in Subjects_in_Recordings]"))</f>
        <v>History general</v>
      </c>
      <c r="F290" s="29">
        <v>45062</v>
      </c>
      <c r="G290" s="19" t="s">
        <v>860</v>
      </c>
      <c r="H290" s="49" t="s">
        <v>31</v>
      </c>
      <c r="I290" s="49" t="s">
        <v>46</v>
      </c>
      <c r="J290" s="49" t="s">
        <v>32</v>
      </c>
      <c r="K290" s="153" t="s">
        <v>33</v>
      </c>
      <c r="L290" s="31" t="s">
        <v>34</v>
      </c>
      <c r="M290" s="20" t="s">
        <v>833</v>
      </c>
      <c r="N290" s="20" t="s">
        <v>833</v>
      </c>
      <c r="O290" s="33" t="s">
        <v>834</v>
      </c>
      <c r="P290" s="21"/>
      <c r="Q290" s="20" t="s">
        <v>833</v>
      </c>
      <c r="R290" s="33" t="s">
        <v>834</v>
      </c>
      <c r="S290" s="21"/>
      <c r="T290" s="21"/>
      <c r="U290" s="20" t="s">
        <v>835</v>
      </c>
      <c r="V290" s="22"/>
      <c r="W290" s="23"/>
      <c r="X290" s="24"/>
      <c r="Y290" s="76" t="s">
        <v>39</v>
      </c>
      <c r="Z290" s="76"/>
      <c r="AA290" s="76" t="str">
        <f ca="1">Rcrdngs[[#This Row],[Title]]&amp;"."&amp;#REF!</f>
        <v>Karantina – NZ (M.73) – Beirut Before</v>
      </c>
    </row>
    <row r="291" spans="1:27" ht="15" customHeight="1">
      <c r="A291" s="82" t="s">
        <v>861</v>
      </c>
      <c r="B291" s="27"/>
      <c r="C291" s="32" t="s">
        <v>831</v>
      </c>
      <c r="D291" s="17" t="str" cm="1">
        <f t="array" ref="D291">_xlfn.TEXTJOIN(", ", TRUE(), _xlfn._xlws.FILTER(Speakers_in_Recordings!$B$2:$B$1502,Speakers_in_Recordings!$A$2:$A$1502=Rcrdngs[[#This Row],[Text]],"[no speaker selected in Speakers_in_Recordings]"))</f>
        <v>LEB_KAR_2023_NZ_M.73_Speaker1</v>
      </c>
      <c r="E291" s="17" t="str" cm="1">
        <f t="array" ref="E291">_xlfn.TEXTJOIN(", ", TRUE(), _xlfn._xlws.FILTER(Sbcts_Rcrdngs[Subject],Sbcts_Rcrdngs[Recording]=Rcrdngs[[#This Row],[Text]],"[no subject selected in Subjects_in_Recordings]"))</f>
        <v>Religion</v>
      </c>
      <c r="F291" s="29">
        <v>45062</v>
      </c>
      <c r="G291" s="19" t="s">
        <v>862</v>
      </c>
      <c r="H291" s="49" t="s">
        <v>31</v>
      </c>
      <c r="I291" s="49" t="s">
        <v>46</v>
      </c>
      <c r="J291" s="49" t="s">
        <v>32</v>
      </c>
      <c r="K291" s="153" t="s">
        <v>33</v>
      </c>
      <c r="L291" s="31" t="s">
        <v>34</v>
      </c>
      <c r="M291" s="20" t="s">
        <v>833</v>
      </c>
      <c r="N291" s="20" t="s">
        <v>833</v>
      </c>
      <c r="O291" s="33" t="s">
        <v>834</v>
      </c>
      <c r="P291" s="21"/>
      <c r="Q291" s="20" t="s">
        <v>833</v>
      </c>
      <c r="R291" s="33" t="s">
        <v>834</v>
      </c>
      <c r="S291" s="21"/>
      <c r="T291" s="21"/>
      <c r="U291" s="20" t="s">
        <v>835</v>
      </c>
      <c r="V291" s="22"/>
      <c r="W291" s="23"/>
      <c r="X291" s="24"/>
      <c r="Y291" s="76" t="s">
        <v>39</v>
      </c>
      <c r="Z291" s="76"/>
      <c r="AA291" s="76" t="str">
        <f ca="1">Rcrdngs[[#This Row],[Title]]&amp;"."&amp;#REF!</f>
        <v>Karantina – NZ (M.73) – Prophet Story; Values</v>
      </c>
    </row>
    <row r="292" spans="1:27" ht="15" customHeight="1">
      <c r="A292" s="82" t="s">
        <v>863</v>
      </c>
      <c r="B292" s="27"/>
      <c r="C292" s="32" t="s">
        <v>831</v>
      </c>
      <c r="D292" s="17" t="str" cm="1">
        <f t="array" ref="D292">_xlfn.TEXTJOIN(", ", TRUE(), _xlfn._xlws.FILTER(Speakers_in_Recordings!$B$2:$B$1502,Speakers_in_Recordings!$A$2:$A$1502=Rcrdngs[[#This Row],[Text]],"[no speaker selected in Speakers_in_Recordings]"))</f>
        <v>LEB_KAR_2023_NZ_M.73_Speaker1, AID</v>
      </c>
      <c r="E292" s="17" t="str" cm="1">
        <f t="array" ref="E292">_xlfn.TEXTJOIN(", ", TRUE(), _xlfn._xlws.FILTER(Sbcts_Rcrdngs[Subject],Sbcts_Rcrdngs[Recording]=Rcrdngs[[#This Row],[Text]],"[no subject selected in Subjects_in_Recordings]"))</f>
        <v>Daily life</v>
      </c>
      <c r="F292" s="29">
        <v>45062</v>
      </c>
      <c r="G292" s="19" t="s">
        <v>318</v>
      </c>
      <c r="H292" s="49" t="s">
        <v>31</v>
      </c>
      <c r="I292" s="49" t="s">
        <v>46</v>
      </c>
      <c r="J292" s="49" t="s">
        <v>32</v>
      </c>
      <c r="K292" s="153" t="s">
        <v>33</v>
      </c>
      <c r="L292" s="31" t="s">
        <v>34</v>
      </c>
      <c r="M292" s="20" t="s">
        <v>833</v>
      </c>
      <c r="N292" s="20" t="s">
        <v>833</v>
      </c>
      <c r="O292" s="33" t="s">
        <v>834</v>
      </c>
      <c r="P292" s="21"/>
      <c r="Q292" s="20" t="s">
        <v>833</v>
      </c>
      <c r="R292" s="33" t="s">
        <v>834</v>
      </c>
      <c r="S292" s="21"/>
      <c r="T292" s="21"/>
      <c r="U292" s="20" t="s">
        <v>835</v>
      </c>
      <c r="V292" s="22"/>
      <c r="W292" s="23"/>
      <c r="X292" s="24"/>
      <c r="Y292" s="76" t="s">
        <v>39</v>
      </c>
      <c r="Z292" s="76"/>
      <c r="AA292" s="76" t="str">
        <f ca="1">Rcrdngs[[#This Row],[Title]]&amp;"."&amp;#REF!</f>
        <v>Karantina – NZ (M.73) – Saida; Friends</v>
      </c>
    </row>
    <row r="293" spans="1:27" ht="15" customHeight="1">
      <c r="A293" s="82" t="s">
        <v>864</v>
      </c>
      <c r="B293" s="27"/>
      <c r="C293" s="32" t="s">
        <v>831</v>
      </c>
      <c r="D293" s="17" t="str" cm="1">
        <f t="array" ref="D293">_xlfn.TEXTJOIN(", ", TRUE(), _xlfn._xlws.FILTER(Speakers_in_Recordings!$B$2:$B$1502,Speakers_in_Recordings!$A$2:$A$1502=Rcrdngs[[#This Row],[Text]],"[no speaker selected in Speakers_in_Recordings]"))</f>
        <v>LEB_KAR_2023_NZ_M.73_Speaker1</v>
      </c>
      <c r="E293" s="17" t="str" cm="1">
        <f t="array" ref="E293">_xlfn.TEXTJOIN(", ", TRUE(), _xlfn._xlws.FILTER(Sbcts_Rcrdngs[Subject],Sbcts_Rcrdngs[Recording]=Rcrdngs[[#This Row],[Text]],"[no subject selected in Subjects_in_Recordings]"))</f>
        <v>Bedouin tents</v>
      </c>
      <c r="F293" s="29">
        <v>45062</v>
      </c>
      <c r="G293" s="19" t="s">
        <v>865</v>
      </c>
      <c r="H293" s="49" t="s">
        <v>31</v>
      </c>
      <c r="I293" s="49" t="s">
        <v>46</v>
      </c>
      <c r="J293" s="49" t="s">
        <v>32</v>
      </c>
      <c r="K293" s="153" t="s">
        <v>33</v>
      </c>
      <c r="L293" s="31" t="s">
        <v>34</v>
      </c>
      <c r="M293" s="20" t="s">
        <v>833</v>
      </c>
      <c r="N293" s="20" t="s">
        <v>833</v>
      </c>
      <c r="O293" s="33" t="s">
        <v>834</v>
      </c>
      <c r="P293" s="21"/>
      <c r="Q293" s="20" t="s">
        <v>833</v>
      </c>
      <c r="R293" s="33" t="s">
        <v>834</v>
      </c>
      <c r="S293" s="21"/>
      <c r="T293" s="21"/>
      <c r="U293" s="20" t="s">
        <v>835</v>
      </c>
      <c r="V293" s="22"/>
      <c r="W293" s="23"/>
      <c r="X293" s="24"/>
      <c r="Y293" s="76" t="s">
        <v>39</v>
      </c>
      <c r="Z293" s="76"/>
      <c r="AA293" s="76" t="str">
        <f ca="1">Rcrdngs[[#This Row],[Title]]&amp;"."&amp;#REF!</f>
        <v>Karantina – NZ (M.73) – Shadir Story</v>
      </c>
    </row>
    <row r="294" spans="1:27" ht="15" customHeight="1">
      <c r="A294" s="82" t="s">
        <v>866</v>
      </c>
      <c r="B294" s="27"/>
      <c r="C294" s="32" t="s">
        <v>831</v>
      </c>
      <c r="D294" s="17" t="str" cm="1">
        <f t="array" ref="D294">_xlfn.TEXTJOIN(", ", TRUE(), _xlfn._xlws.FILTER(Speakers_in_Recordings!$B$2:$B$1502,Speakers_in_Recordings!$A$2:$A$1502=Rcrdngs[[#This Row],[Text]],"[no speaker selected in Speakers_in_Recordings]"))</f>
        <v>LEB_KAR_2023_NZ_M.73_Speaker1</v>
      </c>
      <c r="E294" s="17" t="str" cm="1">
        <f t="array" ref="E294">_xlfn.TEXTJOIN(", ", TRUE(), _xlfn._xlws.FILTER(Sbcts_Rcrdngs[Subject],Sbcts_Rcrdngs[Recording]=Rcrdngs[[#This Row],[Text]],"[no subject selected in Subjects_in_Recordings]"))</f>
        <v>Food recipees</v>
      </c>
      <c r="F294" s="29">
        <v>45062</v>
      </c>
      <c r="G294" s="19" t="s">
        <v>550</v>
      </c>
      <c r="H294" s="49" t="s">
        <v>31</v>
      </c>
      <c r="I294" s="49" t="s">
        <v>46</v>
      </c>
      <c r="J294" s="49" t="s">
        <v>32</v>
      </c>
      <c r="K294" s="153" t="s">
        <v>33</v>
      </c>
      <c r="L294" s="31" t="s">
        <v>34</v>
      </c>
      <c r="M294" s="20" t="s">
        <v>833</v>
      </c>
      <c r="N294" s="20" t="s">
        <v>833</v>
      </c>
      <c r="O294" s="33" t="s">
        <v>834</v>
      </c>
      <c r="P294" s="21"/>
      <c r="Q294" s="20" t="s">
        <v>833</v>
      </c>
      <c r="R294" s="33" t="s">
        <v>834</v>
      </c>
      <c r="S294" s="21"/>
      <c r="T294" s="21"/>
      <c r="U294" s="20" t="s">
        <v>835</v>
      </c>
      <c r="V294" s="22"/>
      <c r="W294" s="23"/>
      <c r="X294" s="24"/>
      <c r="Y294" s="76" t="s">
        <v>39</v>
      </c>
      <c r="Z294" s="76"/>
      <c r="AA294" s="76" t="str">
        <f ca="1">Rcrdngs[[#This Row],[Title]]&amp;"."&amp;#REF!</f>
        <v>Karantina – NZ (M.73) – Tamer Story</v>
      </c>
    </row>
    <row r="295" spans="1:27" ht="15" customHeight="1">
      <c r="A295" s="35"/>
      <c r="B295" s="27"/>
      <c r="C295" s="45"/>
      <c r="D295" s="17" t="str" cm="1">
        <f t="array" ref="D295">_xlfn.TEXTJOIN(", ", TRUE(), _xlfn._xlws.FILTER(Speakers_in_Recordings!$B$2:$B$1502,Speakers_in_Recordings!$A$2:$A$1502=Rcrdngs[[#This Row],[Text]],"[no speaker selected in Speakers_in_Recordings]"))</f>
        <v/>
      </c>
      <c r="E295" s="17" t="str" cm="1">
        <f t="array" ref="E295">_xlfn.TEXTJOIN(", ", TRUE(), _xlfn._xlws.FILTER(Sbcts_Rcrdngs[Subject],Sbcts_Rcrdngs[Recording]=Rcrdngs[[#This Row],[Text]],"[no subject selected in Subjects_in_Recordings]"))</f>
        <v/>
      </c>
      <c r="F295" s="18"/>
      <c r="G295" s="19"/>
      <c r="H295" s="19"/>
      <c r="I295" s="19"/>
      <c r="J295" s="19"/>
      <c r="K295" s="153"/>
      <c r="L295" s="61"/>
      <c r="M295" s="20"/>
      <c r="N295" s="20"/>
      <c r="O295" s="21"/>
      <c r="P295" s="21"/>
      <c r="Q295" s="21"/>
      <c r="R295" s="21"/>
      <c r="S295" s="21"/>
      <c r="T295" s="21"/>
      <c r="U295" s="20"/>
      <c r="V295" s="22"/>
      <c r="W295" s="23"/>
      <c r="X295" s="24"/>
      <c r="Y295" s="76"/>
      <c r="Z295" s="76"/>
      <c r="AA295" s="162"/>
    </row>
    <row r="296" spans="1:27" ht="15" customHeight="1">
      <c r="A296" s="82" t="s">
        <v>867</v>
      </c>
      <c r="B296" s="27"/>
      <c r="C296" s="45" t="s">
        <v>868</v>
      </c>
      <c r="D296" s="17" t="str" cm="1">
        <f t="array" ref="D296">_xlfn.TEXTJOIN(", ", TRUE(), _xlfn._xlws.FILTER(Speakers_in_Recordings!$B$2:$B$1502,Speakers_in_Recordings!$A$2:$A$1502=Rcrdngs[[#This Row],[Text]],"[no speaker selected in Speakers_in_Recordings]"))</f>
        <v>LEB_KAR_2022_AA_F.69_Speaker13, LEB_KAR_2022_MA_M.71_Speaker2, LEB_KAR_2022_KZ_M.27_Speaker12</v>
      </c>
      <c r="E296" s="17" t="str" cm="1">
        <f t="array" ref="E296">_xlfn.TEXTJOIN(", ", TRUE(), _xlfn._xlws.FILTER(Sbcts_Rcrdngs[Subject],Sbcts_Rcrdngs[Recording]=Rcrdngs[[#This Row],[Text]],"[no subject selected in Subjects_in_Recordings]"))</f>
        <v>Civil War</v>
      </c>
      <c r="F296" s="29">
        <v>44624</v>
      </c>
      <c r="G296" s="19" t="s">
        <v>869</v>
      </c>
      <c r="H296" s="49" t="s">
        <v>31</v>
      </c>
      <c r="I296" s="49" t="s">
        <v>32</v>
      </c>
      <c r="J296" s="49" t="s">
        <v>32</v>
      </c>
      <c r="K296" s="153" t="s">
        <v>33</v>
      </c>
      <c r="L296" s="31" t="s">
        <v>34</v>
      </c>
      <c r="M296" s="20" t="s">
        <v>833</v>
      </c>
      <c r="N296" s="20" t="s">
        <v>833</v>
      </c>
      <c r="O296" s="33" t="s">
        <v>834</v>
      </c>
      <c r="P296" s="21"/>
      <c r="Q296" s="20" t="s">
        <v>833</v>
      </c>
      <c r="R296" s="33" t="s">
        <v>834</v>
      </c>
      <c r="S296" s="21"/>
      <c r="T296" s="21"/>
      <c r="U296" s="20" t="s">
        <v>835</v>
      </c>
      <c r="V296" s="22"/>
      <c r="W296" s="23"/>
      <c r="X296" s="24"/>
      <c r="Y296" s="76" t="s">
        <v>39</v>
      </c>
      <c r="Z296" s="76"/>
      <c r="AA296" s="76" t="str">
        <f ca="1">Rcrdngs[[#This Row],[Title]]&amp;"."&amp;#REF!</f>
        <v>Karantina – MA (M.71) – Birth; Civil War (1)</v>
      </c>
    </row>
    <row r="297" spans="1:27" ht="15" customHeight="1">
      <c r="A297" s="102" t="s">
        <v>870</v>
      </c>
      <c r="B297" s="27"/>
      <c r="C297" s="45" t="s">
        <v>868</v>
      </c>
      <c r="D297" s="17" t="str" cm="1">
        <f t="array" ref="D297">_xlfn.TEXTJOIN(", ", TRUE(), _xlfn._xlws.FILTER(Speakers_in_Recordings!$B$2:$B$1502,Speakers_in_Recordings!$A$2:$A$1502=Rcrdngs[[#This Row],[Text]],"[no speaker selected in Speakers_in_Recordings]"))</f>
        <v>LEB_KAR_2022_MA_M.71_Speaker2</v>
      </c>
      <c r="E297" s="17" t="str" cm="1">
        <f t="array" ref="E297">_xlfn.TEXTJOIN(", ", TRUE(), _xlfn._xlws.FILTER(Sbcts_Rcrdngs[Subject],Sbcts_Rcrdngs[Recording]=Rcrdngs[[#This Row],[Text]],"[no subject selected in Subjects_in_Recordings]"))</f>
        <v>Poverty, Childhood</v>
      </c>
      <c r="F297" s="29">
        <v>44624</v>
      </c>
      <c r="G297" s="19" t="s">
        <v>871</v>
      </c>
      <c r="H297" s="49" t="s">
        <v>31</v>
      </c>
      <c r="I297" s="49" t="s">
        <v>32</v>
      </c>
      <c r="J297" s="49" t="s">
        <v>32</v>
      </c>
      <c r="K297" s="153" t="s">
        <v>33</v>
      </c>
      <c r="L297" s="31" t="s">
        <v>34</v>
      </c>
      <c r="M297" s="20" t="s">
        <v>833</v>
      </c>
      <c r="N297" s="20" t="s">
        <v>833</v>
      </c>
      <c r="O297" s="33" t="s">
        <v>834</v>
      </c>
      <c r="P297" s="21"/>
      <c r="Q297" s="20" t="s">
        <v>833</v>
      </c>
      <c r="R297" s="33" t="s">
        <v>834</v>
      </c>
      <c r="S297" s="21"/>
      <c r="T297" s="21"/>
      <c r="U297" s="20" t="s">
        <v>835</v>
      </c>
      <c r="V297" s="22"/>
      <c r="W297" s="23"/>
      <c r="X297" s="24"/>
      <c r="Y297" s="76" t="s">
        <v>39</v>
      </c>
      <c r="Z297" s="76"/>
      <c r="AA297" s="76" t="str">
        <f ca="1">Rcrdngs[[#This Row],[Title]]&amp;"."&amp;#REF!</f>
        <v>Karantina – MA (M.71) – Pre-War Karantina: Neighborhood; Misery; Death</v>
      </c>
    </row>
    <row r="298" spans="1:27" ht="15" customHeight="1">
      <c r="A298" s="82" t="s">
        <v>872</v>
      </c>
      <c r="B298" s="27"/>
      <c r="C298" s="45" t="s">
        <v>868</v>
      </c>
      <c r="D298" s="17" t="str" cm="1">
        <f t="array" ref="D298">_xlfn.TEXTJOIN(", ", TRUE(), _xlfn._xlws.FILTER(Speakers_in_Recordings!$B$2:$B$1502,Speakers_in_Recordings!$A$2:$A$1502=Rcrdngs[[#This Row],[Text]],"[no speaker selected in Speakers_in_Recordings]"))</f>
        <v>LEB_KAR_2022_MA_M.71_Speaker2</v>
      </c>
      <c r="E298" s="17" t="str" cm="1">
        <f t="array" ref="E298">_xlfn.TEXTJOIN(", ", TRUE(), _xlfn._xlws.FILTER(Sbcts_Rcrdngs[Subject],Sbcts_Rcrdngs[Recording]=Rcrdngs[[#This Row],[Text]],"[no subject selected in Subjects_in_Recordings]"))</f>
        <v>Exile</v>
      </c>
      <c r="F298" s="29">
        <v>44624</v>
      </c>
      <c r="G298" s="19" t="s">
        <v>873</v>
      </c>
      <c r="H298" s="49" t="s">
        <v>31</v>
      </c>
      <c r="I298" s="49" t="s">
        <v>32</v>
      </c>
      <c r="J298" s="49" t="s">
        <v>32</v>
      </c>
      <c r="K298" s="153" t="s">
        <v>33</v>
      </c>
      <c r="L298" s="31" t="s">
        <v>34</v>
      </c>
      <c r="M298" s="20" t="s">
        <v>833</v>
      </c>
      <c r="N298" s="20" t="s">
        <v>833</v>
      </c>
      <c r="O298" s="33" t="s">
        <v>834</v>
      </c>
      <c r="P298" s="21"/>
      <c r="Q298" s="20" t="s">
        <v>833</v>
      </c>
      <c r="R298" s="33" t="s">
        <v>834</v>
      </c>
      <c r="S298" s="21"/>
      <c r="T298" s="21"/>
      <c r="U298" s="20" t="s">
        <v>835</v>
      </c>
      <c r="V298" s="22"/>
      <c r="W298" s="23"/>
      <c r="X298" s="24"/>
      <c r="Y298" s="76" t="s">
        <v>39</v>
      </c>
      <c r="Z298" s="76"/>
      <c r="AA298" s="76" t="str">
        <f ca="1">Rcrdngs[[#This Row],[Title]]&amp;"."&amp;#REF!</f>
        <v>Karantina – MA (M.71) – Civil War; Exile; Reputation</v>
      </c>
    </row>
    <row r="299" spans="1:27" ht="15" customHeight="1">
      <c r="A299" s="82" t="s">
        <v>874</v>
      </c>
      <c r="B299" s="27"/>
      <c r="C299" s="45" t="s">
        <v>868</v>
      </c>
      <c r="D299" s="17" t="str" cm="1">
        <f t="array" ref="D299">_xlfn.TEXTJOIN(", ", TRUE(), _xlfn._xlws.FILTER(Speakers_in_Recordings!$B$2:$B$1502,Speakers_in_Recordings!$A$2:$A$1502=Rcrdngs[[#This Row],[Text]],"[no speaker selected in Speakers_in_Recordings]"))</f>
        <v>LEB_KAR_2022_MA_M.71_Speaker2</v>
      </c>
      <c r="E299" s="17" t="str" cm="1">
        <f t="array" ref="E299">_xlfn.TEXTJOIN(", ", TRUE(), _xlfn._xlws.FILTER(Sbcts_Rcrdngs[Subject],Sbcts_Rcrdngs[Recording]=Rcrdngs[[#This Row],[Text]],"[no subject selected in Subjects_in_Recordings]"))</f>
        <v>Markets and food prices</v>
      </c>
      <c r="F299" s="29">
        <v>44624</v>
      </c>
      <c r="G299" s="19" t="s">
        <v>875</v>
      </c>
      <c r="H299" s="49" t="s">
        <v>31</v>
      </c>
      <c r="I299" s="49" t="s">
        <v>32</v>
      </c>
      <c r="J299" s="49" t="s">
        <v>32</v>
      </c>
      <c r="K299" s="153" t="s">
        <v>33</v>
      </c>
      <c r="L299" s="31" t="s">
        <v>34</v>
      </c>
      <c r="M299" s="20" t="s">
        <v>833</v>
      </c>
      <c r="N299" s="20" t="s">
        <v>833</v>
      </c>
      <c r="O299" s="33" t="s">
        <v>834</v>
      </c>
      <c r="P299" s="21"/>
      <c r="Q299" s="20" t="s">
        <v>833</v>
      </c>
      <c r="R299" s="33" t="s">
        <v>834</v>
      </c>
      <c r="S299" s="21"/>
      <c r="T299" s="21"/>
      <c r="U299" s="20" t="s">
        <v>835</v>
      </c>
      <c r="V299" s="22"/>
      <c r="W299" s="23"/>
      <c r="X299" s="24"/>
      <c r="Y299" s="76" t="s">
        <v>39</v>
      </c>
      <c r="Z299" s="76"/>
      <c r="AA299" s="76" t="str">
        <f ca="1">Rcrdngs[[#This Row],[Title]]&amp;"."&amp;#REF!</f>
        <v>Karantina – MA (M.71) – Cheap; Traders; Cattle; Eid</v>
      </c>
    </row>
    <row r="300" spans="1:27" ht="15" customHeight="1">
      <c r="A300" s="97" t="s">
        <v>876</v>
      </c>
      <c r="B300" s="78"/>
      <c r="C300" s="45" t="s">
        <v>868</v>
      </c>
      <c r="D300" s="17" t="str" cm="1">
        <f t="array" ref="D300">_xlfn.TEXTJOIN(", ", TRUE(), _xlfn._xlws.FILTER(Speakers_in_Recordings!$B$2:$B$1502,Speakers_in_Recordings!$A$2:$A$1502=Rcrdngs[[#This Row],[Text]],"[no speaker selected in Speakers_in_Recordings]"))</f>
        <v>LEB_KAR_2022_MA_M.71_Speaker2, LEB_KAR_2022_KZ_M.27_Speaker12</v>
      </c>
      <c r="E300" s="17" t="str" cm="1">
        <f t="array" ref="E300">_xlfn.TEXTJOIN(", ", TRUE(), _xlfn._xlws.FILTER(Sbcts_Rcrdngs[Subject],Sbcts_Rcrdngs[Recording]=Rcrdngs[[#This Row],[Text]],"[no subject selected in Subjects_in_Recordings]"))</f>
        <v>Neighbor communities</v>
      </c>
      <c r="F300" s="29">
        <v>44624</v>
      </c>
      <c r="G300" s="19" t="s">
        <v>505</v>
      </c>
      <c r="H300" s="49" t="s">
        <v>31</v>
      </c>
      <c r="I300" s="49" t="s">
        <v>32</v>
      </c>
      <c r="J300" s="49" t="s">
        <v>32</v>
      </c>
      <c r="K300" s="153" t="s">
        <v>33</v>
      </c>
      <c r="L300" s="31" t="s">
        <v>34</v>
      </c>
      <c r="M300" s="20" t="s">
        <v>833</v>
      </c>
      <c r="N300" s="20" t="s">
        <v>833</v>
      </c>
      <c r="O300" s="33" t="s">
        <v>834</v>
      </c>
      <c r="P300" s="21"/>
      <c r="Q300" s="20" t="s">
        <v>833</v>
      </c>
      <c r="R300" s="33" t="s">
        <v>834</v>
      </c>
      <c r="S300" s="21"/>
      <c r="T300" s="21"/>
      <c r="U300" s="20" t="s">
        <v>835</v>
      </c>
      <c r="V300" s="22"/>
      <c r="W300" s="23"/>
      <c r="X300" s="24"/>
      <c r="Y300" s="76" t="s">
        <v>39</v>
      </c>
      <c r="Z300" s="76"/>
      <c r="AA300" s="76" t="str">
        <f ca="1">Rcrdngs[[#This Row],[Title]]&amp;"."&amp;#REF!</f>
        <v>Karantina – MA (M.71) – Armenians in Karantina</v>
      </c>
    </row>
    <row r="301" spans="1:27" ht="15" customHeight="1">
      <c r="A301" s="97" t="s">
        <v>877</v>
      </c>
      <c r="B301" s="78"/>
      <c r="C301" s="45" t="s">
        <v>868</v>
      </c>
      <c r="D301" s="17" t="str" cm="1">
        <f t="array" ref="D301">_xlfn.TEXTJOIN(", ", TRUE(), _xlfn._xlws.FILTER(Speakers_in_Recordings!$B$2:$B$1502,Speakers_in_Recordings!$A$2:$A$1502=Rcrdngs[[#This Row],[Text]],"[no speaker selected in Speakers_in_Recordings]"))</f>
        <v>LEB_KAR_2022_MA_M.71_Speaker2, LEB_KAR_2022_KZ_M.27_Speaker12</v>
      </c>
      <c r="E301" s="17" t="str" cm="1">
        <f t="array" ref="E301">_xlfn.TEXTJOIN(", ", TRUE(), _xlfn._xlws.FILTER(Sbcts_Rcrdngs[Subject],Sbcts_Rcrdngs[Recording]=Rcrdngs[[#This Row],[Text]],"[no subject selected in Subjects_in_Recordings]"))</f>
        <v>Slaughterhouse</v>
      </c>
      <c r="F301" s="29">
        <v>44624</v>
      </c>
      <c r="G301" s="19" t="s">
        <v>878</v>
      </c>
      <c r="H301" s="49" t="s">
        <v>31</v>
      </c>
      <c r="I301" s="49" t="s">
        <v>32</v>
      </c>
      <c r="J301" s="49" t="s">
        <v>32</v>
      </c>
      <c r="K301" s="153" t="s">
        <v>33</v>
      </c>
      <c r="L301" s="31" t="s">
        <v>34</v>
      </c>
      <c r="M301" s="20" t="s">
        <v>833</v>
      </c>
      <c r="N301" s="20" t="s">
        <v>833</v>
      </c>
      <c r="O301" s="33" t="s">
        <v>834</v>
      </c>
      <c r="P301" s="21"/>
      <c r="Q301" s="20" t="s">
        <v>833</v>
      </c>
      <c r="R301" s="33" t="s">
        <v>834</v>
      </c>
      <c r="S301" s="21"/>
      <c r="T301" s="21"/>
      <c r="U301" s="20" t="s">
        <v>835</v>
      </c>
      <c r="V301" s="22"/>
      <c r="W301" s="23"/>
      <c r="X301" s="24"/>
      <c r="Y301" s="76" t="s">
        <v>39</v>
      </c>
      <c r="Z301" s="76"/>
      <c r="AA301" s="76" t="str">
        <f ca="1">Rcrdngs[[#This Row],[Title]]&amp;"."&amp;#REF!</f>
        <v>Karantina – MA (M.71) – Maslakh (1): Daily Routine</v>
      </c>
    </row>
    <row r="302" spans="1:27" ht="15" customHeight="1">
      <c r="A302" s="97" t="s">
        <v>879</v>
      </c>
      <c r="B302" s="78"/>
      <c r="C302" s="45" t="s">
        <v>868</v>
      </c>
      <c r="D302" s="17" t="str" cm="1">
        <f t="array" ref="D302">_xlfn.TEXTJOIN(", ", TRUE(), _xlfn._xlws.FILTER(Speakers_in_Recordings!$B$2:$B$1502,Speakers_in_Recordings!$A$2:$A$1502=Rcrdngs[[#This Row],[Text]],"[no speaker selected in Speakers_in_Recordings]"))</f>
        <v>LEB_KAR_2022_MA_M.71_Speaker2</v>
      </c>
      <c r="E302" s="17" t="str" cm="1">
        <f t="array" ref="E302">_xlfn.TEXTJOIN(", ", TRUE(), _xlfn._xlws.FILTER(Sbcts_Rcrdngs[Subject],Sbcts_Rcrdngs[Recording]=Rcrdngs[[#This Row],[Text]],"[no subject selected in Subjects_in_Recordings]"))</f>
        <v>Slaughterhouse</v>
      </c>
      <c r="F302" s="29">
        <v>44624</v>
      </c>
      <c r="G302" s="19" t="s">
        <v>880</v>
      </c>
      <c r="H302" s="49" t="s">
        <v>31</v>
      </c>
      <c r="I302" s="49" t="s">
        <v>32</v>
      </c>
      <c r="J302" s="49" t="s">
        <v>32</v>
      </c>
      <c r="K302" s="153" t="s">
        <v>33</v>
      </c>
      <c r="L302" s="31" t="s">
        <v>34</v>
      </c>
      <c r="M302" s="20" t="s">
        <v>833</v>
      </c>
      <c r="N302" s="20" t="s">
        <v>833</v>
      </c>
      <c r="O302" s="33" t="s">
        <v>834</v>
      </c>
      <c r="P302" s="21"/>
      <c r="Q302" s="20" t="s">
        <v>833</v>
      </c>
      <c r="R302" s="33" t="s">
        <v>834</v>
      </c>
      <c r="S302" s="21"/>
      <c r="T302" s="21"/>
      <c r="U302" s="20" t="s">
        <v>835</v>
      </c>
      <c r="V302" s="22"/>
      <c r="W302" s="23"/>
      <c r="X302" s="24"/>
      <c r="Y302" s="76" t="s">
        <v>39</v>
      </c>
      <c r="Z302" s="76"/>
      <c r="AA302" s="76" t="str">
        <f ca="1">Rcrdngs[[#This Row],[Title]]&amp;"."&amp;#REF!</f>
        <v>Karantina – MA (M.71) – Maslakh (2): How It Worked</v>
      </c>
    </row>
    <row r="303" spans="1:27" ht="15" customHeight="1">
      <c r="A303" s="97" t="s">
        <v>881</v>
      </c>
      <c r="B303" s="78"/>
      <c r="C303" s="45" t="s">
        <v>868</v>
      </c>
      <c r="D303" s="17" t="str" cm="1">
        <f t="array" ref="D303">_xlfn.TEXTJOIN(", ", TRUE(), _xlfn._xlws.FILTER(Speakers_in_Recordings!$B$2:$B$1502,Speakers_in_Recordings!$A$2:$A$1502=Rcrdngs[[#This Row],[Text]],"[no speaker selected in Speakers_in_Recordings]"))</f>
        <v>LEB_KAR_2022_MA_M.71_Speaker2</v>
      </c>
      <c r="E303" s="17" t="str" cm="1">
        <f t="array" ref="E303">_xlfn.TEXTJOIN(", ", TRUE(), _xlfn._xlws.FILTER(Sbcts_Rcrdngs[Subject],Sbcts_Rcrdngs[Recording]=Rcrdngs[[#This Row],[Text]],"[no subject selected in Subjects_in_Recordings]"))</f>
        <v>Slaughterhouse</v>
      </c>
      <c r="F303" s="29">
        <v>44624</v>
      </c>
      <c r="G303" s="19" t="s">
        <v>882</v>
      </c>
      <c r="H303" s="49" t="s">
        <v>31</v>
      </c>
      <c r="I303" s="49" t="s">
        <v>32</v>
      </c>
      <c r="J303" s="49" t="s">
        <v>32</v>
      </c>
      <c r="K303" s="153" t="s">
        <v>33</v>
      </c>
      <c r="L303" s="31" t="s">
        <v>34</v>
      </c>
      <c r="M303" s="20" t="s">
        <v>833</v>
      </c>
      <c r="N303" s="20" t="s">
        <v>833</v>
      </c>
      <c r="O303" s="33" t="s">
        <v>834</v>
      </c>
      <c r="P303" s="21"/>
      <c r="Q303" s="20" t="s">
        <v>833</v>
      </c>
      <c r="R303" s="33" t="s">
        <v>834</v>
      </c>
      <c r="S303" s="21"/>
      <c r="T303" s="21"/>
      <c r="U303" s="20" t="s">
        <v>835</v>
      </c>
      <c r="V303" s="22"/>
      <c r="W303" s="23"/>
      <c r="X303" s="24"/>
      <c r="Y303" s="76" t="s">
        <v>39</v>
      </c>
      <c r="Z303" s="76"/>
      <c r="AA303" s="76" t="str">
        <f ca="1">Rcrdngs[[#This Row],[Title]]&amp;"."&amp;#REF!</f>
        <v>Karantina – MA (M.71) – Maslakh (3): Meat Business</v>
      </c>
    </row>
    <row r="304" spans="1:27" ht="15" customHeight="1">
      <c r="A304" s="97" t="s">
        <v>883</v>
      </c>
      <c r="B304" s="78"/>
      <c r="C304" s="45" t="s">
        <v>868</v>
      </c>
      <c r="D304" s="17" t="str" cm="1">
        <f t="array" ref="D304">_xlfn.TEXTJOIN(", ", TRUE(), _xlfn._xlws.FILTER(Speakers_in_Recordings!$B$2:$B$1502,Speakers_in_Recordings!$A$2:$A$1502=Rcrdngs[[#This Row],[Text]],"[no speaker selected in Speakers_in_Recordings]"))</f>
        <v>LEB_KAR_2022_MA_M.71_Speaker2</v>
      </c>
      <c r="E304" s="17" t="str" cm="1">
        <f t="array" ref="E304">_xlfn.TEXTJOIN(", ", TRUE(), _xlfn._xlws.FILTER(Sbcts_Rcrdngs[Subject],Sbcts_Rcrdngs[Recording]=Rcrdngs[[#This Row],[Text]],"[no subject selected in Subjects_in_Recordings]"))</f>
        <v>History general</v>
      </c>
      <c r="F304" s="29">
        <v>44624</v>
      </c>
      <c r="G304" s="19" t="s">
        <v>884</v>
      </c>
      <c r="H304" s="49" t="s">
        <v>31</v>
      </c>
      <c r="I304" s="49" t="s">
        <v>32</v>
      </c>
      <c r="J304" s="49" t="s">
        <v>32</v>
      </c>
      <c r="K304" s="153" t="s">
        <v>33</v>
      </c>
      <c r="L304" s="31" t="s">
        <v>34</v>
      </c>
      <c r="M304" s="20" t="s">
        <v>833</v>
      </c>
      <c r="N304" s="20" t="s">
        <v>833</v>
      </c>
      <c r="O304" s="33" t="s">
        <v>834</v>
      </c>
      <c r="P304" s="21"/>
      <c r="Q304" s="20" t="s">
        <v>833</v>
      </c>
      <c r="R304" s="33" t="s">
        <v>834</v>
      </c>
      <c r="S304" s="21"/>
      <c r="T304" s="21"/>
      <c r="U304" s="20" t="s">
        <v>835</v>
      </c>
      <c r="V304" s="22"/>
      <c r="W304" s="23"/>
      <c r="X304" s="24"/>
      <c r="Y304" s="76" t="s">
        <v>39</v>
      </c>
      <c r="Z304" s="76"/>
      <c r="AA304" s="76" t="str">
        <f ca="1">Rcrdngs[[#This Row],[Title]]&amp;"."&amp;#REF!</f>
        <v>Karantina – MA (M.71) – Trips; Lira</v>
      </c>
    </row>
    <row r="305" spans="1:27" ht="15" customHeight="1">
      <c r="A305" s="97" t="s">
        <v>885</v>
      </c>
      <c r="B305" s="78"/>
      <c r="C305" s="45" t="s">
        <v>868</v>
      </c>
      <c r="D305" s="17" t="str" cm="1">
        <f t="array" ref="D305">_xlfn.TEXTJOIN(", ", TRUE(), _xlfn._xlws.FILTER(Speakers_in_Recordings!$B$2:$B$1502,Speakers_in_Recordings!$A$2:$A$1502=Rcrdngs[[#This Row],[Text]],"[no speaker selected in Speakers_in_Recordings]"))</f>
        <v>LEB_KAR_2022_MA_M.71_Speaker2, LEB_KAR_2022_KZ_M.27_Speaker12, AID</v>
      </c>
      <c r="E305" s="17" t="str" cm="1">
        <f t="array" ref="E305">_xlfn.TEXTJOIN(", ", TRUE(), _xlfn._xlws.FILTER(Sbcts_Rcrdngs[Subject],Sbcts_Rcrdngs[Recording]=Rcrdngs[[#This Row],[Text]],"[no subject selected in Subjects_in_Recordings]"))</f>
        <v>Community identity</v>
      </c>
      <c r="F305" s="29">
        <v>44624</v>
      </c>
      <c r="G305" s="19" t="s">
        <v>886</v>
      </c>
      <c r="H305" s="49" t="s">
        <v>31</v>
      </c>
      <c r="I305" s="49" t="s">
        <v>32</v>
      </c>
      <c r="J305" s="49" t="s">
        <v>32</v>
      </c>
      <c r="K305" s="153" t="s">
        <v>33</v>
      </c>
      <c r="L305" s="31" t="s">
        <v>34</v>
      </c>
      <c r="M305" s="20" t="s">
        <v>833</v>
      </c>
      <c r="N305" s="20" t="s">
        <v>833</v>
      </c>
      <c r="O305" s="33" t="s">
        <v>834</v>
      </c>
      <c r="P305" s="21"/>
      <c r="Q305" s="20" t="s">
        <v>833</v>
      </c>
      <c r="R305" s="33" t="s">
        <v>834</v>
      </c>
      <c r="S305" s="21"/>
      <c r="T305" s="21"/>
      <c r="U305" s="20" t="s">
        <v>835</v>
      </c>
      <c r="V305" s="22"/>
      <c r="W305" s="23"/>
      <c r="X305" s="24"/>
      <c r="Y305" s="76" t="s">
        <v>39</v>
      </c>
      <c r="Z305" s="76"/>
      <c r="AA305" s="76" t="str">
        <f ca="1">Rcrdngs[[#This Row],[Title]]&amp;"."&amp;#REF!</f>
        <v>Karantina – MA (M.71) – Arabi l-Maslakh; Arab Xalde</v>
      </c>
    </row>
    <row r="306" spans="1:27" ht="15" customHeight="1">
      <c r="A306" s="97" t="s">
        <v>887</v>
      </c>
      <c r="B306" s="78"/>
      <c r="C306" s="45" t="s">
        <v>868</v>
      </c>
      <c r="D306" s="17" t="str" cm="1">
        <f t="array" ref="D306">_xlfn.TEXTJOIN(", ", TRUE(), _xlfn._xlws.FILTER(Speakers_in_Recordings!$B$2:$B$1502,Speakers_in_Recordings!$A$2:$A$1502=Rcrdngs[[#This Row],[Text]],"[no speaker selected in Speakers_in_Recordings]"))</f>
        <v>LEB_KAR_2022_MA_M.71_Speaker2</v>
      </c>
      <c r="E306" s="17" t="str" cm="1">
        <f t="array" ref="E306">_xlfn.TEXTJOIN(", ", TRUE(), _xlfn._xlws.FILTER(Sbcts_Rcrdngs[Subject],Sbcts_Rcrdngs[Recording]=Rcrdngs[[#This Row],[Text]],"[no subject selected in Subjects_in_Recordings]"))</f>
        <v>Community identity</v>
      </c>
      <c r="F306" s="29">
        <v>44624</v>
      </c>
      <c r="G306" s="19" t="s">
        <v>888</v>
      </c>
      <c r="H306" s="49" t="s">
        <v>31</v>
      </c>
      <c r="I306" s="49" t="s">
        <v>32</v>
      </c>
      <c r="J306" s="49" t="s">
        <v>32</v>
      </c>
      <c r="K306" s="153" t="s">
        <v>33</v>
      </c>
      <c r="L306" s="31" t="s">
        <v>34</v>
      </c>
      <c r="M306" s="20" t="s">
        <v>833</v>
      </c>
      <c r="N306" s="20" t="s">
        <v>833</v>
      </c>
      <c r="O306" s="33" t="s">
        <v>834</v>
      </c>
      <c r="P306" s="21"/>
      <c r="Q306" s="20" t="s">
        <v>833</v>
      </c>
      <c r="R306" s="33" t="s">
        <v>834</v>
      </c>
      <c r="S306" s="21"/>
      <c r="T306" s="21"/>
      <c r="U306" s="20" t="s">
        <v>835</v>
      </c>
      <c r="V306" s="22"/>
      <c r="W306" s="23"/>
      <c r="X306" s="24"/>
      <c r="Y306" s="76" t="s">
        <v>39</v>
      </c>
      <c r="Z306" s="76"/>
      <c r="AA306" s="76" t="str">
        <f ca="1">Rcrdngs[[#This Row],[Title]]&amp;"."&amp;#REF!</f>
        <v>Karantina – MA (M.71) – Arab Tribes in Lebanon</v>
      </c>
    </row>
    <row r="307" spans="1:27" ht="15" customHeight="1">
      <c r="A307" s="97" t="s">
        <v>889</v>
      </c>
      <c r="B307" s="78"/>
      <c r="C307" s="45" t="s">
        <v>868</v>
      </c>
      <c r="D307" s="17" t="str" cm="1">
        <f t="array" ref="D307">_xlfn.TEXTJOIN(", ", TRUE(), _xlfn._xlws.FILTER(Speakers_in_Recordings!$B$2:$B$1502,Speakers_in_Recordings!$A$2:$A$1502=Rcrdngs[[#This Row],[Text]],"[no speaker selected in Speakers_in_Recordings]"))</f>
        <v>LEB_KAR_2022_MA_M.71_Speaker2, LEB_KAR_2022_KZ_M.27_Speaker12, AID</v>
      </c>
      <c r="E307" s="17" t="str" cm="1">
        <f t="array" ref="E307">_xlfn.TEXTJOIN(", ", TRUE(), _xlfn._xlws.FILTER(Sbcts_Rcrdngs[Subject],Sbcts_Rcrdngs[Recording]=Rcrdngs[[#This Row],[Text]],"[no subject selected in Subjects_in_Recordings]"))</f>
        <v>Community identity</v>
      </c>
      <c r="F307" s="29">
        <v>44624</v>
      </c>
      <c r="G307" s="19" t="s">
        <v>846</v>
      </c>
      <c r="H307" s="49" t="s">
        <v>31</v>
      </c>
      <c r="I307" s="49" t="s">
        <v>32</v>
      </c>
      <c r="J307" s="49" t="s">
        <v>32</v>
      </c>
      <c r="K307" s="153" t="s">
        <v>33</v>
      </c>
      <c r="L307" s="31" t="s">
        <v>34</v>
      </c>
      <c r="M307" s="20" t="s">
        <v>833</v>
      </c>
      <c r="N307" s="20" t="s">
        <v>833</v>
      </c>
      <c r="O307" s="33" t="s">
        <v>834</v>
      </c>
      <c r="P307" s="21"/>
      <c r="Q307" s="20" t="s">
        <v>833</v>
      </c>
      <c r="R307" s="33" t="s">
        <v>834</v>
      </c>
      <c r="S307" s="21"/>
      <c r="T307" s="21"/>
      <c r="U307" s="20" t="s">
        <v>835</v>
      </c>
      <c r="V307" s="22"/>
      <c r="W307" s="23"/>
      <c r="X307" s="24"/>
      <c r="Y307" s="76" t="s">
        <v>39</v>
      </c>
      <c r="Z307" s="76"/>
      <c r="AA307" s="76" t="str">
        <f ca="1">Rcrdngs[[#This Row],[Title]]&amp;"."&amp;#REF!</f>
        <v>Karantina – MA (M.71) – Bedouin Dialect; Culture</v>
      </c>
    </row>
    <row r="308" spans="1:27" ht="15" customHeight="1">
      <c r="A308" s="97" t="s">
        <v>890</v>
      </c>
      <c r="B308" s="78"/>
      <c r="C308" s="45" t="s">
        <v>868</v>
      </c>
      <c r="D308" s="17" t="str" cm="1">
        <f t="array" ref="D308">_xlfn.TEXTJOIN(", ", TRUE(), _xlfn._xlws.FILTER(Speakers_in_Recordings!$B$2:$B$1502,Speakers_in_Recordings!$A$2:$A$1502=Rcrdngs[[#This Row],[Text]],"[no speaker selected in Speakers_in_Recordings]"))</f>
        <v>LEB_KAR_2022_MA_M.71_Speaker2, LEB_KAR_2022_KZ_M.27_Speaker12</v>
      </c>
      <c r="E308" s="17" t="str" cm="1">
        <f t="array" ref="E308">_xlfn.TEXTJOIN(", ", TRUE(), _xlfn._xlws.FILTER(Sbcts_Rcrdngs[Subject],Sbcts_Rcrdngs[Recording]=Rcrdngs[[#This Row],[Text]],"[no subject selected in Subjects_in_Recordings]"))</f>
        <v>Markets and food prices</v>
      </c>
      <c r="F308" s="29">
        <v>44624</v>
      </c>
      <c r="G308" s="19" t="s">
        <v>891</v>
      </c>
      <c r="H308" s="49" t="s">
        <v>31</v>
      </c>
      <c r="I308" s="49" t="s">
        <v>32</v>
      </c>
      <c r="J308" s="49" t="s">
        <v>32</v>
      </c>
      <c r="K308" s="153" t="s">
        <v>33</v>
      </c>
      <c r="L308" s="31" t="s">
        <v>34</v>
      </c>
      <c r="M308" s="20" t="s">
        <v>833</v>
      </c>
      <c r="N308" s="20" t="s">
        <v>833</v>
      </c>
      <c r="O308" s="33" t="s">
        <v>834</v>
      </c>
      <c r="P308" s="21"/>
      <c r="Q308" s="20" t="s">
        <v>833</v>
      </c>
      <c r="R308" s="33" t="s">
        <v>834</v>
      </c>
      <c r="S308" s="21"/>
      <c r="T308" s="21"/>
      <c r="U308" s="20" t="s">
        <v>835</v>
      </c>
      <c r="V308" s="22"/>
      <c r="W308" s="23"/>
      <c r="X308" s="24"/>
      <c r="Y308" s="76" t="s">
        <v>39</v>
      </c>
      <c r="Z308" s="76"/>
      <c r="AA308" s="76" t="str">
        <f ca="1">Rcrdngs[[#This Row],[Title]]&amp;"."&amp;#REF!</f>
        <v>Karantina – MA (M.71) – Food Prices; Clothes; Attitudes</v>
      </c>
    </row>
    <row r="309" spans="1:27" ht="15" customHeight="1">
      <c r="A309" s="97" t="s">
        <v>892</v>
      </c>
      <c r="B309" s="78"/>
      <c r="C309" s="45" t="s">
        <v>868</v>
      </c>
      <c r="D309" s="17" t="str" cm="1">
        <f t="array" ref="D309">_xlfn.TEXTJOIN(", ", TRUE(), _xlfn._xlws.FILTER(Speakers_in_Recordings!$B$2:$B$1502,Speakers_in_Recordings!$A$2:$A$1502=Rcrdngs[[#This Row],[Text]],"[no speaker selected in Speakers_in_Recordings]"))</f>
        <v>LEB_KAR_2022_MA_M.71_Speaker2, LEB_KAR_2022_KZ_M.27_Speaker12</v>
      </c>
      <c r="E309" s="17" t="str" cm="1">
        <f t="array" ref="E309">_xlfn.TEXTJOIN(", ", TRUE(), _xlfn._xlws.FILTER(Sbcts_Rcrdngs[Subject],Sbcts_Rcrdngs[Recording]=Rcrdngs[[#This Row],[Text]],"[no subject selected in Subjects_in_Recordings]"))</f>
        <v>Stories, jokes and tales</v>
      </c>
      <c r="F309" s="29">
        <v>44624</v>
      </c>
      <c r="G309" s="19" t="s">
        <v>131</v>
      </c>
      <c r="H309" s="49" t="s">
        <v>31</v>
      </c>
      <c r="I309" s="49" t="s">
        <v>32</v>
      </c>
      <c r="J309" s="49" t="s">
        <v>32</v>
      </c>
      <c r="K309" s="153" t="s">
        <v>33</v>
      </c>
      <c r="L309" s="31" t="s">
        <v>34</v>
      </c>
      <c r="M309" s="20" t="s">
        <v>833</v>
      </c>
      <c r="N309" s="20" t="s">
        <v>833</v>
      </c>
      <c r="O309" s="33" t="s">
        <v>834</v>
      </c>
      <c r="P309" s="21"/>
      <c r="Q309" s="20" t="s">
        <v>833</v>
      </c>
      <c r="R309" s="33" t="s">
        <v>834</v>
      </c>
      <c r="S309" s="21"/>
      <c r="T309" s="21"/>
      <c r="U309" s="20" t="s">
        <v>835</v>
      </c>
      <c r="V309" s="22"/>
      <c r="W309" s="23"/>
      <c r="X309" s="24"/>
      <c r="Y309" s="76" t="s">
        <v>39</v>
      </c>
      <c r="Z309" s="76"/>
      <c r="AA309" s="76" t="str">
        <f ca="1">Rcrdngs[[#This Row],[Title]]&amp;"."&amp;#REF!</f>
        <v>Karantina – MA (M.71) – Actors; Cars</v>
      </c>
    </row>
    <row r="310" spans="1:27" ht="15" customHeight="1">
      <c r="A310" s="97" t="s">
        <v>893</v>
      </c>
      <c r="B310" s="78"/>
      <c r="C310" s="45" t="s">
        <v>868</v>
      </c>
      <c r="D310" s="17" t="str" cm="1">
        <f t="array" ref="D310">_xlfn.TEXTJOIN(", ", TRUE(), _xlfn._xlws.FILTER(Speakers_in_Recordings!$B$2:$B$1502,Speakers_in_Recordings!$A$2:$A$1502=Rcrdngs[[#This Row],[Text]],"[no speaker selected in Speakers_in_Recordings]"))</f>
        <v>LEB_KAR_2022_MA_M.71_Speaker2, LEB_KAR_2022_KZ_M.27_Speaker12</v>
      </c>
      <c r="E310" s="17" t="str" cm="1">
        <f t="array" ref="E310">_xlfn.TEXTJOIN(", ", TRUE(), _xlfn._xlws.FILTER(Sbcts_Rcrdngs[Subject],Sbcts_Rcrdngs[Recording]=Rcrdngs[[#This Row],[Text]],"[no subject selected in Subjects_in_Recordings]"))</f>
        <v>Childhood</v>
      </c>
      <c r="F310" s="29">
        <v>44624</v>
      </c>
      <c r="G310" s="19" t="s">
        <v>509</v>
      </c>
      <c r="H310" s="49" t="s">
        <v>31</v>
      </c>
      <c r="I310" s="49" t="s">
        <v>32</v>
      </c>
      <c r="J310" s="49" t="s">
        <v>32</v>
      </c>
      <c r="K310" s="153" t="s">
        <v>33</v>
      </c>
      <c r="L310" s="31" t="s">
        <v>34</v>
      </c>
      <c r="M310" s="20" t="s">
        <v>833</v>
      </c>
      <c r="N310" s="20" t="s">
        <v>833</v>
      </c>
      <c r="O310" s="33" t="s">
        <v>834</v>
      </c>
      <c r="P310" s="21"/>
      <c r="Q310" s="20" t="s">
        <v>833</v>
      </c>
      <c r="R310" s="33" t="s">
        <v>834</v>
      </c>
      <c r="S310" s="21"/>
      <c r="T310" s="21"/>
      <c r="U310" s="20" t="s">
        <v>835</v>
      </c>
      <c r="V310" s="22"/>
      <c r="W310" s="23"/>
      <c r="X310" s="24"/>
      <c r="Y310" s="76" t="s">
        <v>39</v>
      </c>
      <c r="Z310" s="76"/>
      <c r="AA310" s="76" t="str">
        <f ca="1">Rcrdngs[[#This Row],[Title]]&amp;"."&amp;#REF!</f>
        <v>Karantina – MA (M.71) – Childhood; Poverty; House</v>
      </c>
    </row>
    <row r="311" spans="1:27" ht="15" customHeight="1">
      <c r="A311" s="97" t="s">
        <v>894</v>
      </c>
      <c r="B311" s="78"/>
      <c r="C311" s="45" t="s">
        <v>868</v>
      </c>
      <c r="D311" s="17" t="str" cm="1">
        <f t="array" ref="D311">_xlfn.TEXTJOIN(", ", TRUE(), _xlfn._xlws.FILTER(Speakers_in_Recordings!$B$2:$B$1502,Speakers_in_Recordings!$A$2:$A$1502=Rcrdngs[[#This Row],[Text]],"[no speaker selected in Speakers_in_Recordings]"))</f>
        <v>LEB_KAR_2022_MA_M.71_Speaker2, LEB_KAR_2022_KZ_M.27_Speaker12</v>
      </c>
      <c r="E311" s="17" t="str" cm="1">
        <f t="array" ref="E311">_xlfn.TEXTJOIN(", ", TRUE(), _xlfn._xlws.FILTER(Sbcts_Rcrdngs[Subject],Sbcts_Rcrdngs[Recording]=Rcrdngs[[#This Row],[Text]],"[no subject selected in Subjects_in_Recordings]"))</f>
        <v>Neighborhood</v>
      </c>
      <c r="F311" s="29">
        <v>44624</v>
      </c>
      <c r="G311" s="19" t="s">
        <v>895</v>
      </c>
      <c r="H311" s="49" t="s">
        <v>31</v>
      </c>
      <c r="I311" s="49" t="s">
        <v>32</v>
      </c>
      <c r="J311" s="49" t="s">
        <v>32</v>
      </c>
      <c r="K311" s="153" t="s">
        <v>33</v>
      </c>
      <c r="L311" s="31" t="s">
        <v>34</v>
      </c>
      <c r="M311" s="20" t="s">
        <v>833</v>
      </c>
      <c r="N311" s="20" t="s">
        <v>833</v>
      </c>
      <c r="O311" s="33" t="s">
        <v>834</v>
      </c>
      <c r="P311" s="21"/>
      <c r="Q311" s="20" t="s">
        <v>833</v>
      </c>
      <c r="R311" s="33" t="s">
        <v>834</v>
      </c>
      <c r="S311" s="21"/>
      <c r="T311" s="21"/>
      <c r="U311" s="20" t="s">
        <v>835</v>
      </c>
      <c r="V311" s="22"/>
      <c r="W311" s="23"/>
      <c r="X311" s="24"/>
      <c r="Y311" s="76" t="s">
        <v>39</v>
      </c>
      <c r="Z311" s="76"/>
      <c r="AA311" s="76" t="str">
        <f ca="1">Rcrdngs[[#This Row],[Title]]&amp;"."&amp;#REF!</f>
        <v>Karantina – MA (M.71) – Pre-War Stories: Boat; Drugs</v>
      </c>
    </row>
    <row r="312" spans="1:27" ht="15" customHeight="1">
      <c r="A312" s="97" t="s">
        <v>896</v>
      </c>
      <c r="B312" s="78"/>
      <c r="C312" s="45" t="s">
        <v>868</v>
      </c>
      <c r="D312" s="17" t="str" cm="1">
        <f t="array" ref="D312">_xlfn.TEXTJOIN(", ", TRUE(), _xlfn._xlws.FILTER(Speakers_in_Recordings!$B$2:$B$1502,Speakers_in_Recordings!$A$2:$A$1502=Rcrdngs[[#This Row],[Text]],"[no speaker selected in Speakers_in_Recordings]"))</f>
        <v>LEB_KAR_2022_MA_M.71_Speaker2, AID</v>
      </c>
      <c r="E312" s="17" t="str" cm="1">
        <f t="array" ref="E312">_xlfn.TEXTJOIN(", ", TRUE(), _xlfn._xlws.FILTER(Sbcts_Rcrdngs[Subject],Sbcts_Rcrdngs[Recording]=Rcrdngs[[#This Row],[Text]],"[no subject selected in Subjects_in_Recordings]"))</f>
        <v>Community identity</v>
      </c>
      <c r="F312" s="29">
        <v>44624</v>
      </c>
      <c r="G312" s="19" t="s">
        <v>897</v>
      </c>
      <c r="H312" s="49" t="s">
        <v>31</v>
      </c>
      <c r="I312" s="49" t="s">
        <v>32</v>
      </c>
      <c r="J312" s="49" t="s">
        <v>32</v>
      </c>
      <c r="K312" s="153" t="s">
        <v>33</v>
      </c>
      <c r="L312" s="31" t="s">
        <v>34</v>
      </c>
      <c r="M312" s="20" t="s">
        <v>833</v>
      </c>
      <c r="N312" s="20" t="s">
        <v>833</v>
      </c>
      <c r="O312" s="33" t="s">
        <v>834</v>
      </c>
      <c r="P312" s="21"/>
      <c r="Q312" s="20" t="s">
        <v>833</v>
      </c>
      <c r="R312" s="33" t="s">
        <v>834</v>
      </c>
      <c r="S312" s="21"/>
      <c r="T312" s="21"/>
      <c r="U312" s="20" t="s">
        <v>835</v>
      </c>
      <c r="V312" s="22"/>
      <c r="W312" s="23"/>
      <c r="X312" s="24"/>
      <c r="Y312" s="76" t="s">
        <v>39</v>
      </c>
      <c r="Z312" s="76"/>
      <c r="AA312" s="76" t="str">
        <f ca="1">Rcrdngs[[#This Row],[Title]]&amp;"."&amp;#REF!</f>
        <v>Karantina – MA (M.71) – Beirut; Cinemas; Beef</v>
      </c>
    </row>
    <row r="313" spans="1:27" ht="15" customHeight="1">
      <c r="A313" s="97" t="s">
        <v>898</v>
      </c>
      <c r="B313" s="78"/>
      <c r="C313" s="45" t="s">
        <v>868</v>
      </c>
      <c r="D313" s="17" t="str" cm="1">
        <f t="array" ref="D313">_xlfn.TEXTJOIN(", ", TRUE(), _xlfn._xlws.FILTER(Speakers_in_Recordings!$B$2:$B$1502,Speakers_in_Recordings!$A$2:$A$1502=Rcrdngs[[#This Row],[Text]],"[no speaker selected in Speakers_in_Recordings]"))</f>
        <v>LEB_KAR_2022_AA_F.69_Speaker13, LEB_KAR_2022_MA_M.71_Speaker2, LEB_KAR_2022_KZ_M.27_Speaker12</v>
      </c>
      <c r="E313" s="17" t="str" cm="1">
        <f t="array" ref="E313">_xlfn.TEXTJOIN(", ", TRUE(), _xlfn._xlws.FILTER(Sbcts_Rcrdngs[Subject],Sbcts_Rcrdngs[Recording]=Rcrdngs[[#This Row],[Text]],"[no subject selected in Subjects_in_Recordings]"))</f>
        <v>Port Explosion</v>
      </c>
      <c r="F313" s="29">
        <v>44624</v>
      </c>
      <c r="G313" s="19" t="s">
        <v>212</v>
      </c>
      <c r="H313" s="49" t="s">
        <v>31</v>
      </c>
      <c r="I313" s="49" t="s">
        <v>32</v>
      </c>
      <c r="J313" s="49" t="s">
        <v>32</v>
      </c>
      <c r="K313" s="153" t="s">
        <v>33</v>
      </c>
      <c r="L313" s="31" t="s">
        <v>34</v>
      </c>
      <c r="M313" s="20" t="s">
        <v>833</v>
      </c>
      <c r="N313" s="20" t="s">
        <v>833</v>
      </c>
      <c r="O313" s="33" t="s">
        <v>834</v>
      </c>
      <c r="P313" s="21"/>
      <c r="Q313" s="20" t="s">
        <v>833</v>
      </c>
      <c r="R313" s="33" t="s">
        <v>834</v>
      </c>
      <c r="S313" s="21"/>
      <c r="T313" s="21"/>
      <c r="U313" s="20" t="s">
        <v>835</v>
      </c>
      <c r="V313" s="22"/>
      <c r="W313" s="23"/>
      <c r="X313" s="24"/>
      <c r="Y313" s="76" t="s">
        <v>39</v>
      </c>
      <c r="Z313" s="76"/>
      <c r="AA313" s="76" t="str">
        <f ca="1">Rcrdngs[[#This Row],[Title]]&amp;"."&amp;#REF!</f>
        <v>Karantina – MA (M.71) – Port Explosion</v>
      </c>
    </row>
    <row r="314" spans="1:27" ht="15" customHeight="1">
      <c r="A314" s="97" t="s">
        <v>899</v>
      </c>
      <c r="B314" s="78"/>
      <c r="C314" s="45" t="s">
        <v>868</v>
      </c>
      <c r="D314" s="17" t="str" cm="1">
        <f t="array" ref="D314">_xlfn.TEXTJOIN(", ", TRUE(), _xlfn._xlws.FILTER(Speakers_in_Recordings!$B$2:$B$1502,Speakers_in_Recordings!$A$2:$A$1502=Rcrdngs[[#This Row],[Text]],"[no speaker selected in Speakers_in_Recordings]"))</f>
        <v>LEB_KAR_2022_MA_M.71_Speaker2, LEB_KAR_2022_AA_F.69_Speaker13</v>
      </c>
      <c r="E314" s="17" t="str" cm="1">
        <f t="array" ref="E314">_xlfn.TEXTJOIN(", ", TRUE(), _xlfn._xlws.FILTER(Sbcts_Rcrdngs[Subject],Sbcts_Rcrdngs[Recording]=Rcrdngs[[#This Row],[Text]],"[no subject selected in Subjects_in_Recordings]"))</f>
        <v>Daily life</v>
      </c>
      <c r="F314" s="29">
        <v>44624</v>
      </c>
      <c r="G314" s="19" t="s">
        <v>900</v>
      </c>
      <c r="H314" s="49" t="s">
        <v>31</v>
      </c>
      <c r="I314" s="49" t="s">
        <v>32</v>
      </c>
      <c r="J314" s="49" t="s">
        <v>32</v>
      </c>
      <c r="K314" s="153" t="s">
        <v>33</v>
      </c>
      <c r="L314" s="31" t="s">
        <v>34</v>
      </c>
      <c r="M314" s="20" t="s">
        <v>833</v>
      </c>
      <c r="N314" s="20" t="s">
        <v>833</v>
      </c>
      <c r="O314" s="33" t="s">
        <v>834</v>
      </c>
      <c r="P314" s="21"/>
      <c r="Q314" s="20" t="s">
        <v>833</v>
      </c>
      <c r="R314" s="33" t="s">
        <v>834</v>
      </c>
      <c r="S314" s="21"/>
      <c r="T314" s="21"/>
      <c r="U314" s="20" t="s">
        <v>835</v>
      </c>
      <c r="V314" s="22"/>
      <c r="W314" s="23"/>
      <c r="X314" s="24"/>
      <c r="Y314" s="76" t="s">
        <v>39</v>
      </c>
      <c r="Z314" s="76"/>
      <c r="AA314" s="76" t="str">
        <f ca="1">Rcrdngs[[#This Row],[Title]]&amp;"."&amp;#REF!</f>
        <v>Karantina – MA (M.71) – Breakfast and Gossip</v>
      </c>
    </row>
    <row r="315" spans="1:27" ht="15" customHeight="1">
      <c r="A315" s="35"/>
      <c r="B315" s="27"/>
      <c r="C315" s="45"/>
      <c r="D315" s="17" t="str" cm="1">
        <f t="array" ref="D315">_xlfn.TEXTJOIN(", ", TRUE(), _xlfn._xlws.FILTER(Speakers_in_Recordings!$B$2:$B$1502,Speakers_in_Recordings!$A$2:$A$1502=Rcrdngs[[#This Row],[Text]],"[no speaker selected in Speakers_in_Recordings]"))</f>
        <v/>
      </c>
      <c r="E315" s="17" t="str" cm="1">
        <f t="array" ref="E315">_xlfn.TEXTJOIN(", ", TRUE(), _xlfn._xlws.FILTER(Sbcts_Rcrdngs[Subject],Sbcts_Rcrdngs[Recording]=Rcrdngs[[#This Row],[Text]],"[no subject selected in Subjects_in_Recordings]"))</f>
        <v/>
      </c>
      <c r="F315" s="18"/>
      <c r="G315" s="19"/>
      <c r="H315" s="49"/>
      <c r="I315" s="49"/>
      <c r="J315" s="49"/>
      <c r="K315" s="153"/>
      <c r="L315" s="61"/>
      <c r="M315" s="20"/>
      <c r="N315" s="20"/>
      <c r="O315" s="21"/>
      <c r="P315" s="21"/>
      <c r="Q315" s="21"/>
      <c r="R315" s="21"/>
      <c r="S315" s="21"/>
      <c r="T315" s="21"/>
      <c r="U315" s="20"/>
      <c r="V315" s="22"/>
      <c r="W315" s="23"/>
      <c r="X315" s="24"/>
      <c r="Y315" s="76"/>
      <c r="Z315" s="76"/>
      <c r="AA315" s="162"/>
    </row>
    <row r="316" spans="1:27" ht="15" customHeight="1">
      <c r="A316" s="82" t="s">
        <v>901</v>
      </c>
      <c r="B316" s="27"/>
      <c r="C316" s="45" t="s">
        <v>868</v>
      </c>
      <c r="D316" s="17" t="str" cm="1">
        <f t="array" ref="D316">_xlfn.TEXTJOIN(", ", TRUE(), _xlfn._xlws.FILTER(Speakers_in_Recordings!$B$2:$B$1502,Speakers_in_Recordings!$A$2:$A$1502=Rcrdngs[[#This Row],[Text]],"[no speaker selected in Speakers_in_Recordings]"))</f>
        <v>LEB_KAR_2022_OD_M.72_Speaker3, LEB_KAR_2022_KZ_M.27_Speaker12</v>
      </c>
      <c r="E316" s="17" t="str" cm="1">
        <f t="array" ref="E316">_xlfn.TEXTJOIN(", ", TRUE(), _xlfn._xlws.FILTER(Sbcts_Rcrdngs[Subject],Sbcts_Rcrdngs[Recording]=Rcrdngs[[#This Row],[Text]],"[no subject selected in Subjects_in_Recordings]"))</f>
        <v>Tribal History</v>
      </c>
      <c r="F316" s="29">
        <v>44620</v>
      </c>
      <c r="G316" s="19" t="s">
        <v>902</v>
      </c>
      <c r="H316" s="49" t="s">
        <v>31</v>
      </c>
      <c r="I316" s="49" t="s">
        <v>32</v>
      </c>
      <c r="J316" s="49" t="s">
        <v>32</v>
      </c>
      <c r="K316" s="153" t="s">
        <v>33</v>
      </c>
      <c r="L316" s="31" t="s">
        <v>34</v>
      </c>
      <c r="M316" s="20" t="s">
        <v>833</v>
      </c>
      <c r="N316" s="20" t="s">
        <v>833</v>
      </c>
      <c r="O316" s="33" t="s">
        <v>834</v>
      </c>
      <c r="P316" s="21"/>
      <c r="Q316" s="20" t="s">
        <v>833</v>
      </c>
      <c r="R316" s="33" t="s">
        <v>834</v>
      </c>
      <c r="S316" s="21"/>
      <c r="T316" s="21"/>
      <c r="U316" s="20" t="s">
        <v>835</v>
      </c>
      <c r="V316" s="22"/>
      <c r="W316" s="23"/>
      <c r="X316" s="24"/>
      <c r="Y316" s="76" t="s">
        <v>39</v>
      </c>
      <c r="Z316" s="76"/>
      <c r="AA316" s="76" t="str">
        <f ca="1">Rcrdngs[[#This Row],[Title]]&amp;"."&amp;#REF!</f>
        <v>Karantina – OD (M.72) – Arab; Tribe; Dialect</v>
      </c>
    </row>
    <row r="317" spans="1:27" ht="15" customHeight="1">
      <c r="A317" s="82" t="s">
        <v>903</v>
      </c>
      <c r="B317" s="27"/>
      <c r="C317" s="45" t="s">
        <v>868</v>
      </c>
      <c r="D317" s="17" t="str" cm="1">
        <f t="array" ref="D317">_xlfn.TEXTJOIN(", ", TRUE(), _xlfn._xlws.FILTER(Speakers_in_Recordings!$B$2:$B$1502,Speakers_in_Recordings!$A$2:$A$1502=Rcrdngs[[#This Row],[Text]],"[no speaker selected in Speakers_in_Recordings]"))</f>
        <v>LEB_KAR_2022_OD_M.72_Speaker3, LEB_KAR_2022_KZ_M.27_Speaker12</v>
      </c>
      <c r="E317" s="17" t="str" cm="1">
        <f t="array" ref="E317">_xlfn.TEXTJOIN(", ", TRUE(), _xlfn._xlws.FILTER(Sbcts_Rcrdngs[Subject],Sbcts_Rcrdngs[Recording]=Rcrdngs[[#This Row],[Text]],"[no subject selected in Subjects_in_Recordings]"))</f>
        <v>Civil War</v>
      </c>
      <c r="F317" s="29">
        <v>44620</v>
      </c>
      <c r="G317" s="19" t="s">
        <v>509</v>
      </c>
      <c r="H317" s="49" t="s">
        <v>31</v>
      </c>
      <c r="I317" s="49" t="s">
        <v>32</v>
      </c>
      <c r="J317" s="49" t="s">
        <v>32</v>
      </c>
      <c r="K317" s="153" t="s">
        <v>33</v>
      </c>
      <c r="L317" s="31" t="s">
        <v>34</v>
      </c>
      <c r="M317" s="20" t="s">
        <v>833</v>
      </c>
      <c r="N317" s="20" t="s">
        <v>833</v>
      </c>
      <c r="O317" s="33" t="s">
        <v>834</v>
      </c>
      <c r="P317" s="21"/>
      <c r="Q317" s="20" t="s">
        <v>833</v>
      </c>
      <c r="R317" s="33" t="s">
        <v>834</v>
      </c>
      <c r="S317" s="21"/>
      <c r="T317" s="21"/>
      <c r="U317" s="20" t="s">
        <v>835</v>
      </c>
      <c r="V317" s="22"/>
      <c r="W317" s="23"/>
      <c r="X317" s="24"/>
      <c r="Y317" s="76" t="s">
        <v>39</v>
      </c>
      <c r="Z317" s="76"/>
      <c r="AA317" s="76" t="str">
        <f ca="1">Rcrdngs[[#This Row],[Title]]&amp;"."&amp;#REF!</f>
        <v>Karantina – OD (M.72) – Civil War</v>
      </c>
    </row>
    <row r="318" spans="1:27" ht="15" customHeight="1">
      <c r="A318" s="82" t="s">
        <v>904</v>
      </c>
      <c r="B318" s="27"/>
      <c r="C318" s="45" t="s">
        <v>868</v>
      </c>
      <c r="D318" s="17" t="str" cm="1">
        <f t="array" ref="D318">_xlfn.TEXTJOIN(", ", TRUE(), _xlfn._xlws.FILTER(Speakers_in_Recordings!$B$2:$B$1502,Speakers_in_Recordings!$A$2:$A$1502=Rcrdngs[[#This Row],[Text]],"[no speaker selected in Speakers_in_Recordings]"))</f>
        <v>LEB_KAR_2022_OD_M.72_Speaker3, LEB_KAR_2022_KZ_M.27_Speaker12</v>
      </c>
      <c r="E318" s="17" t="str" cm="1">
        <f t="array" ref="E318">_xlfn.TEXTJOIN(", ", TRUE(), _xlfn._xlws.FILTER(Sbcts_Rcrdngs[Subject],Sbcts_Rcrdngs[Recording]=Rcrdngs[[#This Row],[Text]],"[no subject selected in Subjects_in_Recordings]"))</f>
        <v>Community identity</v>
      </c>
      <c r="F318" s="29">
        <v>44620</v>
      </c>
      <c r="G318" s="19" t="s">
        <v>905</v>
      </c>
      <c r="H318" s="49" t="s">
        <v>31</v>
      </c>
      <c r="I318" s="49" t="s">
        <v>32</v>
      </c>
      <c r="J318" s="49" t="s">
        <v>32</v>
      </c>
      <c r="K318" s="153" t="s">
        <v>33</v>
      </c>
      <c r="L318" s="31" t="s">
        <v>34</v>
      </c>
      <c r="M318" s="20" t="s">
        <v>833</v>
      </c>
      <c r="N318" s="20" t="s">
        <v>833</v>
      </c>
      <c r="O318" s="33" t="s">
        <v>834</v>
      </c>
      <c r="P318" s="21"/>
      <c r="Q318" s="20" t="s">
        <v>833</v>
      </c>
      <c r="R318" s="33" t="s">
        <v>834</v>
      </c>
      <c r="S318" s="21"/>
      <c r="T318" s="21"/>
      <c r="U318" s="20" t="s">
        <v>835</v>
      </c>
      <c r="V318" s="22"/>
      <c r="W318" s="23"/>
      <c r="X318" s="24"/>
      <c r="Y318" s="76" t="s">
        <v>39</v>
      </c>
      <c r="Z318" s="76"/>
      <c r="AA318" s="76" t="str">
        <f ca="1">Rcrdngs[[#This Row],[Title]]&amp;"."&amp;#REF!</f>
        <v>Karantina – OD (M.72) – Arabi l-Maslakh</v>
      </c>
    </row>
    <row r="319" spans="1:27" ht="15" customHeight="1">
      <c r="A319" s="82" t="s">
        <v>906</v>
      </c>
      <c r="B319" s="27"/>
      <c r="C319" s="45" t="s">
        <v>868</v>
      </c>
      <c r="D319" s="17" t="str" cm="1">
        <f t="array" ref="D319">_xlfn.TEXTJOIN(", ", TRUE(), _xlfn._xlws.FILTER(Speakers_in_Recordings!$B$2:$B$1502,Speakers_in_Recordings!$A$2:$A$1502=Rcrdngs[[#This Row],[Text]],"[no speaker selected in Speakers_in_Recordings]"))</f>
        <v>LEB_KAR_2022_OD_M.72_Speaker3, LEB_KAR_2022_KZ_M.27_Speaker12, AID</v>
      </c>
      <c r="E319" s="17" t="str" cm="1">
        <f t="array" ref="E319">_xlfn.TEXTJOIN(", ", TRUE(), _xlfn._xlws.FILTER(Sbcts_Rcrdngs[Subject],Sbcts_Rcrdngs[Recording]=Rcrdngs[[#This Row],[Text]],"[no subject selected in Subjects_in_Recordings]"))</f>
        <v>Language and identity</v>
      </c>
      <c r="F319" s="29">
        <v>44620</v>
      </c>
      <c r="G319" s="19" t="s">
        <v>907</v>
      </c>
      <c r="H319" s="49" t="s">
        <v>31</v>
      </c>
      <c r="I319" s="49" t="s">
        <v>32</v>
      </c>
      <c r="J319" s="49" t="s">
        <v>32</v>
      </c>
      <c r="K319" s="153" t="s">
        <v>33</v>
      </c>
      <c r="L319" s="31" t="s">
        <v>34</v>
      </c>
      <c r="M319" s="20" t="s">
        <v>833</v>
      </c>
      <c r="N319" s="20" t="s">
        <v>833</v>
      </c>
      <c r="O319" s="33" t="s">
        <v>834</v>
      </c>
      <c r="P319" s="21"/>
      <c r="Q319" s="20" t="s">
        <v>833</v>
      </c>
      <c r="R319" s="33" t="s">
        <v>834</v>
      </c>
      <c r="S319" s="21"/>
      <c r="T319" s="21"/>
      <c r="U319" s="20" t="s">
        <v>835</v>
      </c>
      <c r="V319" s="22"/>
      <c r="W319" s="23"/>
      <c r="X319" s="24"/>
      <c r="Y319" s="76" t="s">
        <v>39</v>
      </c>
      <c r="Z319" s="76"/>
      <c r="AA319" s="76" t="str">
        <f ca="1">Rcrdngs[[#This Row],[Title]]&amp;"."&amp;#REF!</f>
        <v>Karantina – OD (M.72) – Dialect Loss; Identity</v>
      </c>
    </row>
    <row r="320" spans="1:27" ht="15" customHeight="1">
      <c r="A320" s="82" t="s">
        <v>908</v>
      </c>
      <c r="B320" s="27"/>
      <c r="C320" s="45" t="s">
        <v>868</v>
      </c>
      <c r="D320" s="17" t="str" cm="1">
        <f t="array" ref="D320">_xlfn.TEXTJOIN(", ", TRUE(), _xlfn._xlws.FILTER(Speakers_in_Recordings!$B$2:$B$1502,Speakers_in_Recordings!$A$2:$A$1502=Rcrdngs[[#This Row],[Text]],"[no speaker selected in Speakers_in_Recordings]"))</f>
        <v>LEB_KAR_2022_OD_M.72_Speaker3</v>
      </c>
      <c r="E320" s="17" t="str" cm="1">
        <f t="array" ref="E320">_xlfn.TEXTJOIN(", ", TRUE(), _xlfn._xlws.FILTER(Sbcts_Rcrdngs[Subject],Sbcts_Rcrdngs[Recording]=Rcrdngs[[#This Row],[Text]],"[no subject selected in Subjects_in_Recordings]"))</f>
        <v>Visual elicitation</v>
      </c>
      <c r="F320" s="29">
        <v>44620</v>
      </c>
      <c r="G320" s="19" t="s">
        <v>909</v>
      </c>
      <c r="H320" s="49" t="s">
        <v>31</v>
      </c>
      <c r="I320" s="49" t="s">
        <v>32</v>
      </c>
      <c r="J320" s="49" t="s">
        <v>32</v>
      </c>
      <c r="K320" s="153" t="s">
        <v>33</v>
      </c>
      <c r="L320" s="31" t="s">
        <v>34</v>
      </c>
      <c r="M320" s="20" t="s">
        <v>833</v>
      </c>
      <c r="N320" s="20" t="s">
        <v>833</v>
      </c>
      <c r="O320" s="33" t="s">
        <v>834</v>
      </c>
      <c r="P320" s="21"/>
      <c r="Q320" s="20" t="s">
        <v>833</v>
      </c>
      <c r="R320" s="33" t="s">
        <v>834</v>
      </c>
      <c r="S320" s="21"/>
      <c r="T320" s="21"/>
      <c r="U320" s="20" t="s">
        <v>835</v>
      </c>
      <c r="V320" s="22"/>
      <c r="W320" s="23"/>
      <c r="X320" s="24"/>
      <c r="Y320" s="76" t="s">
        <v>87</v>
      </c>
      <c r="Z320" s="76"/>
      <c r="AA320" s="76" t="str">
        <f ca="1">Rcrdngs[[#This Row],[Title]]&amp;"."&amp;#REF!</f>
        <v>Karantina – OD (M.72) – Pictures; Prepositions</v>
      </c>
    </row>
    <row r="321" spans="1:27" ht="15" customHeight="1">
      <c r="A321" s="35"/>
      <c r="B321" s="27"/>
      <c r="C321" s="45"/>
      <c r="D321" s="17" t="str" cm="1">
        <f t="array" ref="D321">_xlfn.TEXTJOIN(", ", TRUE(), _xlfn._xlws.FILTER(Speakers_in_Recordings!$B$2:$B$1502,Speakers_in_Recordings!$A$2:$A$1502=Rcrdngs[[#This Row],[Text]],"[no speaker selected in Speakers_in_Recordings]"))</f>
        <v/>
      </c>
      <c r="E321" s="17" t="str" cm="1">
        <f t="array" ref="E321">_xlfn.TEXTJOIN(", ", TRUE(), _xlfn._xlws.FILTER(Sbcts_Rcrdngs[Subject],Sbcts_Rcrdngs[Recording]=Rcrdngs[[#This Row],[Text]],"[no subject selected in Subjects_in_Recordings]"))</f>
        <v/>
      </c>
      <c r="F321" s="18"/>
      <c r="G321" s="19"/>
      <c r="H321" s="19"/>
      <c r="I321" s="19"/>
      <c r="J321" s="19"/>
      <c r="K321" s="153"/>
      <c r="L321" s="61"/>
      <c r="M321" s="20"/>
      <c r="N321" s="20"/>
      <c r="O321" s="21"/>
      <c r="P321" s="21"/>
      <c r="Q321" s="21"/>
      <c r="R321" s="21"/>
      <c r="S321" s="21"/>
      <c r="T321" s="21"/>
      <c r="U321" s="20"/>
      <c r="V321" s="22"/>
      <c r="W321" s="23"/>
      <c r="X321" s="24"/>
      <c r="Y321" s="76"/>
      <c r="Z321" s="76"/>
      <c r="AA321" s="162"/>
    </row>
    <row r="322" spans="1:27" ht="15" customHeight="1">
      <c r="A322" s="82" t="s">
        <v>910</v>
      </c>
      <c r="B322" s="27"/>
      <c r="C322" s="45" t="s">
        <v>868</v>
      </c>
      <c r="D322" s="17" t="str" cm="1">
        <f t="array" ref="D322">_xlfn.TEXTJOIN(", ", TRUE(), _xlfn._xlws.FILTER(Speakers_in_Recordings!$B$2:$B$1502,Speakers_in_Recordings!$A$2:$A$1502=Rcrdngs[[#This Row],[Text]],"[no speaker selected in Speakers_in_Recordings]"))</f>
        <v>LEB_KAR_2022_KS_M.65_Speaker5</v>
      </c>
      <c r="E322" s="17" t="str" cm="1">
        <f t="array" ref="E322">_xlfn.TEXTJOIN(", ", TRUE(), _xlfn._xlws.FILTER(Sbcts_Rcrdngs[Subject],Sbcts_Rcrdngs[Recording]=Rcrdngs[[#This Row],[Text]],"[no subject selected in Subjects_in_Recordings]"))</f>
        <v>Marriage</v>
      </c>
      <c r="F322" s="18">
        <v>44618</v>
      </c>
      <c r="G322" s="19" t="s">
        <v>911</v>
      </c>
      <c r="H322" s="49" t="s">
        <v>31</v>
      </c>
      <c r="I322" s="49" t="s">
        <v>32</v>
      </c>
      <c r="J322" s="49" t="s">
        <v>32</v>
      </c>
      <c r="K322" s="153" t="s">
        <v>33</v>
      </c>
      <c r="L322" s="31" t="s">
        <v>34</v>
      </c>
      <c r="M322" s="20" t="s">
        <v>833</v>
      </c>
      <c r="N322" s="20" t="s">
        <v>833</v>
      </c>
      <c r="O322" s="21"/>
      <c r="P322" s="21"/>
      <c r="Q322" s="20" t="s">
        <v>833</v>
      </c>
      <c r="R322" s="21"/>
      <c r="S322" s="21"/>
      <c r="T322" s="21"/>
      <c r="U322" s="20" t="s">
        <v>835</v>
      </c>
      <c r="V322" s="22"/>
      <c r="W322" s="23"/>
      <c r="X322" s="24"/>
      <c r="Y322" s="76" t="s">
        <v>39</v>
      </c>
      <c r="Z322" s="76"/>
      <c r="AA322" s="76" t="str">
        <f ca="1">Rcrdngs[[#This Row],[Title]]&amp;"."&amp;#REF!</f>
        <v>Karantina – KS (M.65) – Bedouin Weddings (1)</v>
      </c>
    </row>
    <row r="323" spans="1:27" ht="15" customHeight="1">
      <c r="A323" s="82" t="s">
        <v>912</v>
      </c>
      <c r="B323" s="27"/>
      <c r="C323" s="45" t="s">
        <v>868</v>
      </c>
      <c r="D323" s="17" t="str" cm="1">
        <f t="array" ref="D323">_xlfn.TEXTJOIN(", ", TRUE(), _xlfn._xlws.FILTER(Speakers_in_Recordings!$B$2:$B$1502,Speakers_in_Recordings!$A$2:$A$1502=Rcrdngs[[#This Row],[Text]],"[no speaker selected in Speakers_in_Recordings]"))</f>
        <v>LEB_KAR_2022_KS_M.65_Speaker5</v>
      </c>
      <c r="E323" s="17" t="str" cm="1">
        <f t="array" ref="E323">_xlfn.TEXTJOIN(", ", TRUE(), _xlfn._xlws.FILTER(Sbcts_Rcrdngs[Subject],Sbcts_Rcrdngs[Recording]=Rcrdngs[[#This Row],[Text]],"[no subject selected in Subjects_in_Recordings]"))</f>
        <v>Marriage</v>
      </c>
      <c r="F323" s="18">
        <v>44618</v>
      </c>
      <c r="G323" s="19" t="s">
        <v>913</v>
      </c>
      <c r="H323" s="49" t="s">
        <v>31</v>
      </c>
      <c r="I323" s="49" t="s">
        <v>32</v>
      </c>
      <c r="J323" s="49" t="s">
        <v>32</v>
      </c>
      <c r="K323" s="153" t="s">
        <v>33</v>
      </c>
      <c r="L323" s="31" t="s">
        <v>34</v>
      </c>
      <c r="M323" s="20" t="s">
        <v>833</v>
      </c>
      <c r="N323" s="20" t="s">
        <v>833</v>
      </c>
      <c r="O323" s="21"/>
      <c r="P323" s="21"/>
      <c r="Q323" s="20" t="s">
        <v>833</v>
      </c>
      <c r="R323" s="21"/>
      <c r="S323" s="21"/>
      <c r="T323" s="21"/>
      <c r="U323" s="20" t="s">
        <v>835</v>
      </c>
      <c r="V323" s="22"/>
      <c r="W323" s="23"/>
      <c r="X323" s="24"/>
      <c r="Y323" s="76" t="s">
        <v>39</v>
      </c>
      <c r="Z323" s="76"/>
      <c r="AA323" s="76" t="str">
        <f ca="1">Rcrdngs[[#This Row],[Title]]&amp;"."&amp;#REF!</f>
        <v>Karantina – KS (M.65) – Bedouin Weddings (2)</v>
      </c>
    </row>
    <row r="324" spans="1:27" ht="15" customHeight="1">
      <c r="A324" s="82" t="s">
        <v>914</v>
      </c>
      <c r="B324" s="27"/>
      <c r="C324" s="45" t="s">
        <v>868</v>
      </c>
      <c r="D324" s="17" t="str" cm="1">
        <f t="array" ref="D324">_xlfn.TEXTJOIN(", ", TRUE(), _xlfn._xlws.FILTER(Speakers_in_Recordings!$B$2:$B$1502,Speakers_in_Recordings!$A$2:$A$1502=Rcrdngs[[#This Row],[Text]],"[no speaker selected in Speakers_in_Recordings]"))</f>
        <v>LEB_KAR_2022_KS_M.65_Speaker5</v>
      </c>
      <c r="E324" s="17" t="str" cm="1">
        <f t="array" ref="E324">_xlfn.TEXTJOIN(", ", TRUE(), _xlfn._xlws.FILTER(Sbcts_Rcrdngs[Subject],Sbcts_Rcrdngs[Recording]=Rcrdngs[[#This Row],[Text]],"[no subject selected in Subjects_in_Recordings]"))</f>
        <v>Tribal Traditions</v>
      </c>
      <c r="F324" s="18">
        <v>44618</v>
      </c>
      <c r="G324" s="19" t="s">
        <v>235</v>
      </c>
      <c r="H324" s="49" t="s">
        <v>31</v>
      </c>
      <c r="I324" s="49" t="s">
        <v>32</v>
      </c>
      <c r="J324" s="49" t="s">
        <v>32</v>
      </c>
      <c r="K324" s="153" t="s">
        <v>33</v>
      </c>
      <c r="L324" s="31" t="s">
        <v>34</v>
      </c>
      <c r="M324" s="20" t="s">
        <v>833</v>
      </c>
      <c r="N324" s="20" t="s">
        <v>833</v>
      </c>
      <c r="O324" s="21"/>
      <c r="P324" s="21"/>
      <c r="Q324" s="20" t="s">
        <v>833</v>
      </c>
      <c r="R324" s="21"/>
      <c r="S324" s="21"/>
      <c r="T324" s="21"/>
      <c r="U324" s="20" t="s">
        <v>835</v>
      </c>
      <c r="V324" s="22"/>
      <c r="W324" s="23"/>
      <c r="X324" s="24"/>
      <c r="Y324" s="76" t="s">
        <v>39</v>
      </c>
      <c r="Z324" s="76"/>
      <c r="AA324" s="76" t="str">
        <f ca="1">Rcrdngs[[#This Row],[Title]]&amp;"."&amp;#REF!</f>
        <v>Karantina – KS (M.65) – Bedouin Coffee</v>
      </c>
    </row>
    <row r="325" spans="1:27" ht="15" customHeight="1">
      <c r="A325" s="82" t="s">
        <v>915</v>
      </c>
      <c r="B325" s="27"/>
      <c r="C325" s="45" t="s">
        <v>868</v>
      </c>
      <c r="D325" s="17" t="str" cm="1">
        <f t="array" ref="D325">_xlfn.TEXTJOIN(", ", TRUE(), _xlfn._xlws.FILTER(Speakers_in_Recordings!$B$2:$B$1502,Speakers_in_Recordings!$A$2:$A$1502=Rcrdngs[[#This Row],[Text]],"[no speaker selected in Speakers_in_Recordings]"))</f>
        <v>LEB_KAR_2022_KS_M.65_Speaker5</v>
      </c>
      <c r="E325" s="17" t="str" cm="1">
        <f t="array" ref="E325">_xlfn.TEXTJOIN(", ", TRUE(), _xlfn._xlws.FILTER(Sbcts_Rcrdngs[Subject],Sbcts_Rcrdngs[Recording]=Rcrdngs[[#This Row],[Text]],"[no subject selected in Subjects_in_Recordings]"))</f>
        <v>Visual elicitation</v>
      </c>
      <c r="F325" s="18">
        <v>44618</v>
      </c>
      <c r="G325" s="19" t="s">
        <v>916</v>
      </c>
      <c r="H325" s="49" t="s">
        <v>31</v>
      </c>
      <c r="I325" s="49" t="s">
        <v>32</v>
      </c>
      <c r="J325" s="49" t="s">
        <v>32</v>
      </c>
      <c r="K325" s="153" t="s">
        <v>33</v>
      </c>
      <c r="L325" s="31" t="s">
        <v>34</v>
      </c>
      <c r="M325" s="20" t="s">
        <v>833</v>
      </c>
      <c r="N325" s="20" t="s">
        <v>833</v>
      </c>
      <c r="O325" s="21"/>
      <c r="P325" s="21"/>
      <c r="Q325" s="21"/>
      <c r="R325" s="21"/>
      <c r="S325" s="21"/>
      <c r="T325" s="21"/>
      <c r="U325" s="20" t="s">
        <v>835</v>
      </c>
      <c r="V325" s="22"/>
      <c r="W325" s="23"/>
      <c r="X325" s="24"/>
      <c r="Y325" s="76" t="s">
        <v>87</v>
      </c>
      <c r="Z325" s="76"/>
      <c r="AA325" s="76" t="str">
        <f ca="1">Rcrdngs[[#This Row],[Title]]&amp;"."&amp;#REF!</f>
        <v>Karantina – KS (M.65) – Body Parts (Elicitation)</v>
      </c>
    </row>
    <row r="326" spans="1:27" ht="15" customHeight="1">
      <c r="A326" s="82" t="s">
        <v>917</v>
      </c>
      <c r="B326" s="27"/>
      <c r="C326" s="45" t="s">
        <v>868</v>
      </c>
      <c r="D326" s="17" t="str" cm="1">
        <f t="array" ref="D326">_xlfn.TEXTJOIN(", ", TRUE(), _xlfn._xlws.FILTER(Speakers_in_Recordings!$B$2:$B$1502,Speakers_in_Recordings!$A$2:$A$1502=Rcrdngs[[#This Row],[Text]],"[no speaker selected in Speakers_in_Recordings]"))</f>
        <v>LEB_KAR_2022_KS_M.65_Speaker5</v>
      </c>
      <c r="E326" s="17" t="str" cm="1">
        <f t="array" ref="E326">_xlfn.TEXTJOIN(", ", TRUE(), _xlfn._xlws.FILTER(Sbcts_Rcrdngs[Subject],Sbcts_Rcrdngs[Recording]=Rcrdngs[[#This Row],[Text]],"[no subject selected in Subjects_in_Recordings]"))</f>
        <v>Questionnaire</v>
      </c>
      <c r="F326" s="18">
        <v>44618</v>
      </c>
      <c r="G326" s="19" t="s">
        <v>918</v>
      </c>
      <c r="H326" s="49" t="s">
        <v>31</v>
      </c>
      <c r="I326" s="49" t="s">
        <v>32</v>
      </c>
      <c r="J326" s="49" t="s">
        <v>32</v>
      </c>
      <c r="K326" s="153" t="s">
        <v>33</v>
      </c>
      <c r="L326" s="31" t="s">
        <v>34</v>
      </c>
      <c r="M326" s="20" t="s">
        <v>833</v>
      </c>
      <c r="N326" s="20" t="s">
        <v>833</v>
      </c>
      <c r="O326" s="21"/>
      <c r="P326" s="21"/>
      <c r="Q326" s="21"/>
      <c r="R326" s="21"/>
      <c r="S326" s="21"/>
      <c r="T326" s="21"/>
      <c r="U326" s="20" t="s">
        <v>835</v>
      </c>
      <c r="V326" s="22"/>
      <c r="W326" s="23"/>
      <c r="X326" s="24"/>
      <c r="Y326" s="76" t="s">
        <v>173</v>
      </c>
      <c r="Z326" s="76"/>
      <c r="AA326" s="76" t="str">
        <f ca="1">Rcrdngs[[#This Row],[Title]]&amp;"."&amp;#REF!</f>
        <v>Karantina – KS (M.65) – Questionnaire</v>
      </c>
    </row>
    <row r="327" spans="1:27" ht="15" customHeight="1">
      <c r="A327" s="82" t="s">
        <v>919</v>
      </c>
      <c r="B327" s="27"/>
      <c r="C327" s="45" t="s">
        <v>868</v>
      </c>
      <c r="D327" s="17" t="str" cm="1">
        <f t="array" ref="D327">_xlfn.TEXTJOIN(", ", TRUE(), _xlfn._xlws.FILTER(Speakers_in_Recordings!$B$2:$B$1502,Speakers_in_Recordings!$A$2:$A$1502=Rcrdngs[[#This Row],[Text]],"[no speaker selected in Speakers_in_Recordings]"))</f>
        <v>LEB_KAR_2022_KS_M.65_Speaker5</v>
      </c>
      <c r="E327" s="17" t="str" cm="1">
        <f t="array" ref="E327">_xlfn.TEXTJOIN(", ", TRUE(), _xlfn._xlws.FILTER(Sbcts_Rcrdngs[Subject],Sbcts_Rcrdngs[Recording]=Rcrdngs[[#This Row],[Text]],"[no subject selected in Subjects_in_Recordings]"))</f>
        <v>Visual elicitation</v>
      </c>
      <c r="F327" s="18">
        <v>44618</v>
      </c>
      <c r="G327" s="19" t="s">
        <v>348</v>
      </c>
      <c r="H327" s="49" t="s">
        <v>31</v>
      </c>
      <c r="I327" s="49" t="s">
        <v>32</v>
      </c>
      <c r="J327" s="49" t="s">
        <v>32</v>
      </c>
      <c r="K327" s="153" t="s">
        <v>33</v>
      </c>
      <c r="L327" s="31" t="s">
        <v>34</v>
      </c>
      <c r="M327" s="20" t="s">
        <v>833</v>
      </c>
      <c r="N327" s="20" t="s">
        <v>833</v>
      </c>
      <c r="O327" s="21"/>
      <c r="P327" s="21"/>
      <c r="Q327" s="21"/>
      <c r="R327" s="21"/>
      <c r="S327" s="21"/>
      <c r="T327" s="21"/>
      <c r="U327" s="20" t="s">
        <v>835</v>
      </c>
      <c r="V327" s="22"/>
      <c r="W327" s="23"/>
      <c r="X327" s="24"/>
      <c r="Y327" s="76" t="s">
        <v>87</v>
      </c>
      <c r="Z327" s="76"/>
      <c r="AA327" s="76" t="str">
        <f ca="1">Rcrdngs[[#This Row],[Title]]&amp;"."&amp;#REF!</f>
        <v>Karantina – KS (M.65) – Prepositions (Elicitation)</v>
      </c>
    </row>
    <row r="328" spans="1:27" ht="15" customHeight="1">
      <c r="A328" s="82" t="s">
        <v>920</v>
      </c>
      <c r="B328" s="27"/>
      <c r="C328" s="45" t="s">
        <v>868</v>
      </c>
      <c r="D328" s="17" t="str" cm="1">
        <f t="array" ref="D328">_xlfn.TEXTJOIN(", ", TRUE(), _xlfn._xlws.FILTER(Speakers_in_Recordings!$B$2:$B$1502,Speakers_in_Recordings!$A$2:$A$1502=Rcrdngs[[#This Row],[Text]],"[no speaker selected in Speakers_in_Recordings]"))</f>
        <v>LEB_KAR_2022_KS_M.65_Speaker5</v>
      </c>
      <c r="E328" s="17" t="str" cm="1">
        <f t="array" ref="E328">_xlfn.TEXTJOIN(", ", TRUE(), _xlfn._xlws.FILTER(Sbcts_Rcrdngs[Subject],Sbcts_Rcrdngs[Recording]=Rcrdngs[[#This Row],[Text]],"[no subject selected in Subjects_in_Recordings]"))</f>
        <v>Visual elicitation</v>
      </c>
      <c r="F328" s="18">
        <v>44618</v>
      </c>
      <c r="G328" s="19" t="s">
        <v>921</v>
      </c>
      <c r="H328" s="49" t="s">
        <v>31</v>
      </c>
      <c r="I328" s="49" t="s">
        <v>32</v>
      </c>
      <c r="J328" s="49" t="s">
        <v>32</v>
      </c>
      <c r="K328" s="153" t="s">
        <v>33</v>
      </c>
      <c r="L328" s="31" t="s">
        <v>34</v>
      </c>
      <c r="M328" s="20" t="s">
        <v>833</v>
      </c>
      <c r="N328" s="20" t="s">
        <v>833</v>
      </c>
      <c r="O328" s="21"/>
      <c r="P328" s="21"/>
      <c r="Q328" s="21"/>
      <c r="R328" s="21"/>
      <c r="S328" s="21"/>
      <c r="T328" s="21"/>
      <c r="U328" s="20" t="s">
        <v>835</v>
      </c>
      <c r="V328" s="22"/>
      <c r="W328" s="23"/>
      <c r="X328" s="24"/>
      <c r="Y328" s="76" t="s">
        <v>87</v>
      </c>
      <c r="Z328" s="76"/>
      <c r="AA328" s="76" t="str">
        <f ca="1">Rcrdngs[[#This Row],[Title]]&amp;"."&amp;#REF!</f>
        <v>Karantina – KS (M.65) – Actions (Elicitation)</v>
      </c>
    </row>
    <row r="329" spans="1:27" ht="15" customHeight="1">
      <c r="A329" s="35"/>
      <c r="B329" s="27"/>
      <c r="C329" s="45"/>
      <c r="D329" s="17" t="str" cm="1">
        <f t="array" ref="D329">_xlfn.TEXTJOIN(", ", TRUE(), _xlfn._xlws.FILTER(Speakers_in_Recordings!$B$2:$B$1502,Speakers_in_Recordings!$A$2:$A$1502=Rcrdngs[[#This Row],[Text]],"[no speaker selected in Speakers_in_Recordings]"))</f>
        <v/>
      </c>
      <c r="E329" s="17" t="str" cm="1">
        <f t="array" ref="E329">_xlfn.TEXTJOIN(", ", TRUE(), _xlfn._xlws.FILTER(Sbcts_Rcrdngs[Subject],Sbcts_Rcrdngs[Recording]=Rcrdngs[[#This Row],[Text]],"[no subject selected in Subjects_in_Recordings]"))</f>
        <v/>
      </c>
      <c r="F329" s="18"/>
      <c r="G329" s="19"/>
      <c r="H329" s="19"/>
      <c r="I329" s="19"/>
      <c r="J329" s="19"/>
      <c r="K329" s="153"/>
      <c r="L329" s="61"/>
      <c r="M329" s="20"/>
      <c r="N329" s="20"/>
      <c r="O329" s="21"/>
      <c r="P329" s="21"/>
      <c r="Q329" s="21"/>
      <c r="R329" s="21"/>
      <c r="S329" s="21"/>
      <c r="T329" s="21"/>
      <c r="U329" s="20"/>
      <c r="V329" s="22"/>
      <c r="W329" s="23"/>
      <c r="X329" s="24"/>
      <c r="Y329" s="76"/>
      <c r="Z329" s="76"/>
      <c r="AA329" s="162"/>
    </row>
    <row r="330" spans="1:27" ht="15" customHeight="1">
      <c r="A330" s="82" t="s">
        <v>922</v>
      </c>
      <c r="B330" s="27"/>
      <c r="C330" s="45" t="s">
        <v>831</v>
      </c>
      <c r="D330" s="17" t="str" cm="1">
        <f t="array" ref="D330">_xlfn.TEXTJOIN(", ", TRUE(), _xlfn._xlws.FILTER(Speakers_in_Recordings!$B$2:$B$1502,Speakers_in_Recordings!$A$2:$A$1502=Rcrdngs[[#This Row],[Text]],"[no speaker selected in Speakers_in_Recordings]"))</f>
        <v>LEB_KAR_2023_SKh_M.63_Speaker7, LEB_KAR_2023_AY_F.44_Speaker22, AID</v>
      </c>
      <c r="E330" s="17" t="str" cm="1">
        <f t="array" ref="E330">_xlfn.TEXTJOIN(", ", TRUE(), _xlfn._xlws.FILTER(Sbcts_Rcrdngs[Subject],Sbcts_Rcrdngs[Recording]=Rcrdngs[[#This Row],[Text]],"[no subject selected in Subjects_in_Recordings]"))</f>
        <v>Language and identity</v>
      </c>
      <c r="F330" s="18">
        <v>45065</v>
      </c>
      <c r="G330" s="19" t="s">
        <v>923</v>
      </c>
      <c r="H330" s="49" t="s">
        <v>31</v>
      </c>
      <c r="I330" s="49" t="s">
        <v>32</v>
      </c>
      <c r="J330" s="49" t="s">
        <v>32</v>
      </c>
      <c r="K330" s="153" t="s">
        <v>33</v>
      </c>
      <c r="L330" s="31" t="s">
        <v>34</v>
      </c>
      <c r="M330" s="20" t="s">
        <v>833</v>
      </c>
      <c r="N330" s="20" t="s">
        <v>833</v>
      </c>
      <c r="O330" s="21"/>
      <c r="P330" s="21"/>
      <c r="Q330" s="21"/>
      <c r="R330" s="21"/>
      <c r="S330" s="21"/>
      <c r="T330" s="21"/>
      <c r="U330" s="20" t="s">
        <v>835</v>
      </c>
      <c r="V330" s="22"/>
      <c r="W330" s="23"/>
      <c r="X330" s="24"/>
      <c r="Y330" s="76" t="s">
        <v>39</v>
      </c>
      <c r="Z330" s="76"/>
      <c r="AA330" s="76" t="str">
        <f ca="1">Rcrdngs[[#This Row],[Title]]&amp;"."&amp;#REF!</f>
        <v>Karantina – SKh (M.63) – Project: F (44) Passes By</v>
      </c>
    </row>
    <row r="331" spans="1:27" ht="15" customHeight="1">
      <c r="A331" s="82" t="s">
        <v>924</v>
      </c>
      <c r="B331" s="27"/>
      <c r="C331" s="45" t="s">
        <v>831</v>
      </c>
      <c r="D331" s="17" t="str" cm="1">
        <f t="array" ref="D331">_xlfn.TEXTJOIN(", ", TRUE(), _xlfn._xlws.FILTER(Speakers_in_Recordings!$B$2:$B$1502,Speakers_in_Recordings!$A$2:$A$1502=Rcrdngs[[#This Row],[Text]],"[no speaker selected in Speakers_in_Recordings]"))</f>
        <v>LEB_KAR_2023_SKh_M.63_Speaker7, LEB_KAR_2023_AD_M.64_Speaker23, AID</v>
      </c>
      <c r="E331" s="17" t="str" cm="1">
        <f t="array" ref="E331">_xlfn.TEXTJOIN(", ", TRUE(), _xlfn._xlws.FILTER(Sbcts_Rcrdngs[Subject],Sbcts_Rcrdngs[Recording]=Rcrdngs[[#This Row],[Text]],"[no subject selected in Subjects_in_Recordings]"))</f>
        <v>Language and identity</v>
      </c>
      <c r="F331" s="18">
        <v>45065</v>
      </c>
      <c r="G331" s="19" t="s">
        <v>925</v>
      </c>
      <c r="H331" s="49" t="s">
        <v>31</v>
      </c>
      <c r="I331" s="49" t="s">
        <v>32</v>
      </c>
      <c r="J331" s="49" t="s">
        <v>32</v>
      </c>
      <c r="K331" s="153" t="s">
        <v>33</v>
      </c>
      <c r="L331" s="31" t="s">
        <v>34</v>
      </c>
      <c r="M331" s="20" t="s">
        <v>833</v>
      </c>
      <c r="N331" s="20" t="s">
        <v>833</v>
      </c>
      <c r="O331" s="21"/>
      <c r="P331" s="21"/>
      <c r="Q331" s="21"/>
      <c r="R331" s="21"/>
      <c r="S331" s="21"/>
      <c r="T331" s="21"/>
      <c r="U331" s="20" t="s">
        <v>835</v>
      </c>
      <c r="V331" s="22"/>
      <c r="W331" s="23"/>
      <c r="X331" s="24"/>
      <c r="Y331" s="76" t="s">
        <v>39</v>
      </c>
      <c r="Z331" s="76"/>
      <c r="AA331" s="76" t="str">
        <f ca="1">Rcrdngs[[#This Row],[Title]]&amp;"."&amp;#REF!</f>
        <v>Karantina – SKh (M.63) – Bedouin Dialect Ideologies</v>
      </c>
    </row>
    <row r="332" spans="1:27" ht="15" customHeight="1">
      <c r="A332" s="82" t="s">
        <v>926</v>
      </c>
      <c r="B332" s="27"/>
      <c r="C332" s="45" t="s">
        <v>831</v>
      </c>
      <c r="D332" s="17" t="str" cm="1">
        <f t="array" ref="D332">_xlfn.TEXTJOIN(", ", TRUE(), _xlfn._xlws.FILTER(Speakers_in_Recordings!$B$2:$B$1502,Speakers_in_Recordings!$A$2:$A$1502=Rcrdngs[[#This Row],[Text]],"[no speaker selected in Speakers_in_Recordings]"))</f>
        <v>LEB_KAR_2023_SKh_M.63_Speaker7, LEB_KAR_2023_AD_M.64_Speaker23, AID</v>
      </c>
      <c r="E332" s="17" t="str" cm="1">
        <f t="array" ref="E332">_xlfn.TEXTJOIN(", ", TRUE(), _xlfn._xlws.FILTER(Sbcts_Rcrdngs[Subject],Sbcts_Rcrdngs[Recording]=Rcrdngs[[#This Row],[Text]],"[no subject selected in Subjects_in_Recordings]"))</f>
        <v>Neighborhood</v>
      </c>
      <c r="F332" s="18">
        <v>45065</v>
      </c>
      <c r="G332" s="19" t="s">
        <v>597</v>
      </c>
      <c r="H332" s="49" t="s">
        <v>31</v>
      </c>
      <c r="I332" s="49" t="s">
        <v>32</v>
      </c>
      <c r="J332" s="49" t="s">
        <v>32</v>
      </c>
      <c r="K332" s="153" t="s">
        <v>33</v>
      </c>
      <c r="L332" s="31" t="s">
        <v>34</v>
      </c>
      <c r="M332" s="20" t="s">
        <v>833</v>
      </c>
      <c r="N332" s="20" t="s">
        <v>833</v>
      </c>
      <c r="O332" s="21"/>
      <c r="P332" s="21"/>
      <c r="Q332" s="21"/>
      <c r="R332" s="21"/>
      <c r="S332" s="21"/>
      <c r="T332" s="21"/>
      <c r="U332" s="20" t="s">
        <v>835</v>
      </c>
      <c r="V332" s="22"/>
      <c r="W332" s="23"/>
      <c r="X332" s="24"/>
      <c r="Y332" s="76" t="s">
        <v>39</v>
      </c>
      <c r="Z332" s="76"/>
      <c r="AA332" s="76" t="str">
        <f ca="1">Rcrdngs[[#This Row],[Title]]&amp;"."&amp;#REF!</f>
        <v>Karantina – SKh (M.63) – Conversation with Kid Selling Coffee</v>
      </c>
    </row>
    <row r="333" spans="1:27" ht="15" customHeight="1">
      <c r="A333" s="82" t="s">
        <v>927</v>
      </c>
      <c r="B333" s="27"/>
      <c r="C333" s="45" t="s">
        <v>831</v>
      </c>
      <c r="D333" s="17" t="str" cm="1">
        <f t="array" ref="D333">_xlfn.TEXTJOIN(", ", TRUE(), _xlfn._xlws.FILTER(Speakers_in_Recordings!$B$2:$B$1502,Speakers_in_Recordings!$A$2:$A$1502=Rcrdngs[[#This Row],[Text]],"[no speaker selected in Speakers_in_Recordings]"))</f>
        <v>LEB_KAR_2023_SKh_M.63_Speaker7, LEB_KAR_2023_ZK_M.55_Speaker21, LEB_KAR_2023_AY_F.44_Speaker22, AID</v>
      </c>
      <c r="E333" s="17" t="str" cm="1">
        <f t="array" ref="E333">_xlfn.TEXTJOIN(", ", TRUE(), _xlfn._xlws.FILTER(Sbcts_Rcrdngs[Subject],Sbcts_Rcrdngs[Recording]=Rcrdngs[[#This Row],[Text]],"[no subject selected in Subjects_in_Recordings]"))</f>
        <v>Neighbor communities</v>
      </c>
      <c r="F333" s="18">
        <v>45065</v>
      </c>
      <c r="G333" s="19" t="s">
        <v>928</v>
      </c>
      <c r="H333" s="49" t="s">
        <v>31</v>
      </c>
      <c r="I333" s="49" t="s">
        <v>32</v>
      </c>
      <c r="J333" s="49" t="s">
        <v>32</v>
      </c>
      <c r="K333" s="153" t="s">
        <v>33</v>
      </c>
      <c r="L333" s="31" t="s">
        <v>34</v>
      </c>
      <c r="M333" s="20" t="s">
        <v>833</v>
      </c>
      <c r="N333" s="20" t="s">
        <v>833</v>
      </c>
      <c r="O333" s="21"/>
      <c r="P333" s="21"/>
      <c r="Q333" s="21"/>
      <c r="R333" s="21"/>
      <c r="S333" s="21"/>
      <c r="T333" s="21"/>
      <c r="U333" s="20" t="s">
        <v>835</v>
      </c>
      <c r="V333" s="22"/>
      <c r="W333" s="23"/>
      <c r="X333" s="24"/>
      <c r="Y333" s="76" t="s">
        <v>39</v>
      </c>
      <c r="Z333" s="76"/>
      <c r="AA333" s="76" t="str">
        <f ca="1">Rcrdngs[[#This Row],[Title]]&amp;"."&amp;#REF!</f>
        <v>Karantina – SKh (M.63) – Conversation with M (55)</v>
      </c>
    </row>
    <row r="334" spans="1:27" ht="15" customHeight="1">
      <c r="A334" s="35"/>
      <c r="B334" s="27"/>
      <c r="C334" s="45"/>
      <c r="D334" s="17" t="str" cm="1">
        <f t="array" ref="D334">_xlfn.TEXTJOIN(", ", TRUE(), _xlfn._xlws.FILTER(Speakers_in_Recordings!$B$2:$B$1502,Speakers_in_Recordings!$A$2:$A$1502=Rcrdngs[[#This Row],[Text]],"[no speaker selected in Speakers_in_Recordings]"))</f>
        <v/>
      </c>
      <c r="E334" s="17" t="str" cm="1">
        <f t="array" ref="E334">_xlfn.TEXTJOIN(", ", TRUE(), _xlfn._xlws.FILTER(Sbcts_Rcrdngs[Subject],Sbcts_Rcrdngs[Recording]=Rcrdngs[[#This Row],[Text]],"[no subject selected in Subjects_in_Recordings]"))</f>
        <v/>
      </c>
      <c r="F334" s="18"/>
      <c r="G334" s="19"/>
      <c r="H334" s="19"/>
      <c r="I334" s="19"/>
      <c r="J334" s="19"/>
      <c r="K334" s="153"/>
      <c r="L334" s="61"/>
      <c r="M334" s="20"/>
      <c r="N334" s="20"/>
      <c r="O334" s="21"/>
      <c r="P334" s="21"/>
      <c r="Q334" s="21"/>
      <c r="R334" s="21"/>
      <c r="S334" s="21"/>
      <c r="T334" s="21"/>
      <c r="U334" s="20"/>
      <c r="V334" s="22"/>
      <c r="W334" s="23"/>
      <c r="X334" s="24"/>
      <c r="Y334" s="76"/>
      <c r="Z334" s="76"/>
      <c r="AA334" s="162"/>
    </row>
    <row r="335" spans="1:27" ht="15" customHeight="1">
      <c r="A335" s="83" t="s">
        <v>929</v>
      </c>
      <c r="B335" s="27"/>
      <c r="C335" s="45" t="s">
        <v>868</v>
      </c>
      <c r="D335" s="17" t="str" cm="1">
        <f t="array" ref="D335">_xlfn.TEXTJOIN(", ", TRUE(), _xlfn._xlws.FILTER(Speakers_in_Recordings!$B$2:$B$1502,Speakers_in_Recordings!$A$2:$A$1502=Rcrdngs[[#This Row],[Text]],"[no speaker selected in Speakers_in_Recordings]"))</f>
        <v>LEB_KAR_2022_KS_F.68_Speaker4, LEB_KAR_2022_KZ_M.27_Speaker12, AID, CL</v>
      </c>
      <c r="E335" s="17" t="str" cm="1">
        <f t="array" ref="E335">_xlfn.TEXTJOIN(", ", TRUE(), _xlfn._xlws.FILTER(Sbcts_Rcrdngs[Subject],Sbcts_Rcrdngs[Recording]=Rcrdngs[[#This Row],[Text]],"[no subject selected in Subjects_in_Recordings]"))</f>
        <v>Food recipees, Family, Language and identity, Port Explosion</v>
      </c>
      <c r="F335" s="29">
        <v>44619</v>
      </c>
      <c r="G335" s="19" t="s">
        <v>930</v>
      </c>
      <c r="H335" s="49" t="s">
        <v>31</v>
      </c>
      <c r="I335" s="49" t="s">
        <v>46</v>
      </c>
      <c r="J335" s="49" t="s">
        <v>46</v>
      </c>
      <c r="K335" s="153" t="s">
        <v>838</v>
      </c>
      <c r="L335" s="61" t="s">
        <v>34</v>
      </c>
      <c r="M335" s="20" t="s">
        <v>833</v>
      </c>
      <c r="N335" s="20" t="s">
        <v>833</v>
      </c>
      <c r="O335" s="33" t="s">
        <v>834</v>
      </c>
      <c r="P335" s="21"/>
      <c r="Q335" s="21"/>
      <c r="R335" s="21"/>
      <c r="S335" s="21"/>
      <c r="T335" s="21"/>
      <c r="U335" s="20" t="s">
        <v>835</v>
      </c>
      <c r="V335" s="22"/>
      <c r="W335" s="23"/>
      <c r="X335" s="24"/>
      <c r="Y335" s="76" t="s">
        <v>39</v>
      </c>
      <c r="Z335" s="76"/>
      <c r="AA335" s="76" t="str">
        <f ca="1">Rcrdngs[[#This Row],[Title]]&amp;"."&amp;#REF!</f>
        <v>Karantina – KS (F.68) – All</v>
      </c>
    </row>
    <row r="336" spans="1:27" ht="15" customHeight="1">
      <c r="A336" s="82" t="s">
        <v>931</v>
      </c>
      <c r="B336" s="27"/>
      <c r="C336" s="45" t="s">
        <v>831</v>
      </c>
      <c r="D336" s="17" t="str" cm="1">
        <f t="array" ref="D336">_xlfn.TEXTJOIN(", ", TRUE(), _xlfn._xlws.FILTER(Speakers_in_Recordings!$B$2:$B$1502,Speakers_in_Recordings!$A$2:$A$1502=Rcrdngs[[#This Row],[Text]],"[no speaker selected in Speakers_in_Recordings]"))</f>
        <v>LEB_KAR_2023_NH_F.66_Speaker24, CL</v>
      </c>
      <c r="E336" s="17" t="str" cm="1">
        <f t="array" ref="E336">_xlfn.TEXTJOIN(", ", TRUE(), _xlfn._xlws.FILTER(Sbcts_Rcrdngs[Subject],Sbcts_Rcrdngs[Recording]=Rcrdngs[[#This Row],[Text]],"[no subject selected in Subjects_in_Recordings]"))</f>
        <v>Poverty</v>
      </c>
      <c r="F336" s="18">
        <v>45064</v>
      </c>
      <c r="G336" s="19" t="s">
        <v>932</v>
      </c>
      <c r="H336" s="49" t="s">
        <v>31</v>
      </c>
      <c r="I336" s="49" t="s">
        <v>46</v>
      </c>
      <c r="J336" s="49" t="s">
        <v>46</v>
      </c>
      <c r="K336" s="153" t="s">
        <v>838</v>
      </c>
      <c r="L336" s="61" t="s">
        <v>34</v>
      </c>
      <c r="M336" s="20" t="s">
        <v>933</v>
      </c>
      <c r="N336" s="20" t="s">
        <v>833</v>
      </c>
      <c r="O336" s="33" t="s">
        <v>834</v>
      </c>
      <c r="P336" s="21"/>
      <c r="Q336" s="21"/>
      <c r="R336" s="21"/>
      <c r="S336" s="21"/>
      <c r="T336" s="21"/>
      <c r="U336" s="20" t="s">
        <v>835</v>
      </c>
      <c r="V336" s="22"/>
      <c r="W336" s="23"/>
      <c r="X336" s="24"/>
      <c r="Y336" s="76" t="s">
        <v>39</v>
      </c>
      <c r="Z336" s="76"/>
      <c r="AA336" s="76" t="str">
        <f ca="1">Rcrdngs[[#This Row],[Title]]&amp;"."&amp;#REF!</f>
        <v>Karantina – NH (F.66) – Hard Life</v>
      </c>
    </row>
    <row r="337" spans="1:27" ht="15" customHeight="1">
      <c r="A337" s="82" t="s">
        <v>934</v>
      </c>
      <c r="B337" s="27"/>
      <c r="C337" s="45" t="s">
        <v>831</v>
      </c>
      <c r="D337" s="17" t="str" cm="1">
        <f t="array" ref="D337">_xlfn.TEXTJOIN(", ", TRUE(), _xlfn._xlws.FILTER(Speakers_in_Recordings!$B$2:$B$1502,Speakers_in_Recordings!$A$2:$A$1502=Rcrdngs[[#This Row],[Text]],"[no speaker selected in Speakers_in_Recordings]"))</f>
        <v>LEB_KAR_2023_NH_F.66_Speaker24, CL</v>
      </c>
      <c r="E337" s="17" t="str" cm="1">
        <f t="array" ref="E337">_xlfn.TEXTJOIN(", ", TRUE(), _xlfn._xlws.FILTER(Sbcts_Rcrdngs[Subject],Sbcts_Rcrdngs[Recording]=Rcrdngs[[#This Row],[Text]],"[no subject selected in Subjects_in_Recordings]"))</f>
        <v>Language and identity, Community identity</v>
      </c>
      <c r="F337" s="18">
        <v>45064</v>
      </c>
      <c r="G337" s="19" t="s">
        <v>935</v>
      </c>
      <c r="H337" s="49" t="s">
        <v>31</v>
      </c>
      <c r="I337" s="49" t="s">
        <v>32</v>
      </c>
      <c r="J337" s="49" t="s">
        <v>32</v>
      </c>
      <c r="K337" s="153" t="s">
        <v>33</v>
      </c>
      <c r="L337" s="61" t="s">
        <v>34</v>
      </c>
      <c r="M337" s="20" t="s">
        <v>933</v>
      </c>
      <c r="N337" s="20" t="s">
        <v>833</v>
      </c>
      <c r="O337" s="33" t="s">
        <v>834</v>
      </c>
      <c r="P337" s="21"/>
      <c r="Q337" s="21"/>
      <c r="R337" s="21"/>
      <c r="S337" s="21"/>
      <c r="T337" s="21"/>
      <c r="U337" s="20" t="s">
        <v>835</v>
      </c>
      <c r="V337" s="22"/>
      <c r="W337" s="23"/>
      <c r="X337" s="24"/>
      <c r="Y337" s="76" t="s">
        <v>39</v>
      </c>
      <c r="Z337" s="76"/>
      <c r="AA337" s="76" t="str">
        <f ca="1">Rcrdngs[[#This Row],[Title]]&amp;"."&amp;#REF!</f>
        <v>Karantina – NH (F.66) – ARMS and Language Ideologies</v>
      </c>
    </row>
    <row r="338" spans="1:27" ht="15" customHeight="1">
      <c r="A338" s="82" t="s">
        <v>936</v>
      </c>
      <c r="B338" s="27"/>
      <c r="C338" s="45" t="s">
        <v>868</v>
      </c>
      <c r="D338" s="17" t="str" cm="1">
        <f t="array" ref="D338">_xlfn.TEXTJOIN(", ", TRUE(), _xlfn._xlws.FILTER(Speakers_in_Recordings!$B$2:$B$1502,Speakers_in_Recordings!$A$2:$A$1502=Rcrdngs[[#This Row],[Text]],"[no speaker selected in Speakers_in_Recordings]"))</f>
        <v>LEB_KAR_2022_DZ_F.63_Speaker6, LEB_KAR_2022_KZ_M.27_Speaker12, CL, AID</v>
      </c>
      <c r="E338" s="17" t="str" cm="1">
        <f t="array" ref="E338">_xlfn.TEXTJOIN(", ", TRUE(), _xlfn._xlws.FILTER(Sbcts_Rcrdngs[Subject],Sbcts_Rcrdngs[Recording]=Rcrdngs[[#This Row],[Text]],"[no subject selected in Subjects_in_Recordings]"))</f>
        <v>Feasts, Language and identity, Food recipees, Port Explosion</v>
      </c>
      <c r="F338" s="29">
        <v>44619</v>
      </c>
      <c r="G338" s="19" t="s">
        <v>937</v>
      </c>
      <c r="H338" s="49" t="s">
        <v>31</v>
      </c>
      <c r="I338" s="49" t="s">
        <v>46</v>
      </c>
      <c r="J338" s="49" t="s">
        <v>46</v>
      </c>
      <c r="K338" s="153" t="s">
        <v>838</v>
      </c>
      <c r="L338" s="61" t="s">
        <v>34</v>
      </c>
      <c r="M338" s="20" t="s">
        <v>833</v>
      </c>
      <c r="N338" s="20" t="s">
        <v>833</v>
      </c>
      <c r="O338" s="33" t="s">
        <v>834</v>
      </c>
      <c r="P338" s="21"/>
      <c r="Q338" s="21"/>
      <c r="R338" s="21"/>
      <c r="S338" s="21"/>
      <c r="T338" s="21"/>
      <c r="U338" s="20" t="s">
        <v>835</v>
      </c>
      <c r="V338" s="22"/>
      <c r="W338" s="23"/>
      <c r="X338" s="24"/>
      <c r="Y338" s="76" t="s">
        <v>39</v>
      </c>
      <c r="Z338" s="76"/>
      <c r="AA338" s="76" t="str">
        <f ca="1">Rcrdngs[[#This Row],[Title]]&amp;"."&amp;#REF!</f>
        <v>Karantina – DZ (F.63) – All</v>
      </c>
    </row>
    <row r="339" spans="1:27" ht="15" customHeight="1">
      <c r="A339" s="82" t="s">
        <v>938</v>
      </c>
      <c r="B339" s="27"/>
      <c r="C339" s="45" t="s">
        <v>831</v>
      </c>
      <c r="D339" s="17" t="str" cm="1">
        <f t="array" ref="D339">_xlfn.TEXTJOIN(", ", TRUE(), _xlfn._xlws.FILTER(Speakers_in_Recordings!$B$2:$B$1502,Speakers_in_Recordings!$A$2:$A$1502=Rcrdngs[[#This Row],[Text]],"[no speaker selected in Speakers_in_Recordings]"))</f>
        <v>LEB_KAR_2023_BK_F.57_Speaker20, LEB_KAR_2022_KS_M.65_Speaker5, CL, AID</v>
      </c>
      <c r="E339" s="17" t="str" cm="1">
        <f t="array" ref="E339">_xlfn.TEXTJOIN(", ", TRUE(), _xlfn._xlws.FILTER(Sbcts_Rcrdngs[Subject],Sbcts_Rcrdngs[Recording]=Rcrdngs[[#This Row],[Text]],"[no subject selected in Subjects_in_Recordings]"))</f>
        <v>Childhood, Family, Poverty, Neighborhood</v>
      </c>
      <c r="F339" s="18">
        <v>45064</v>
      </c>
      <c r="G339" s="19" t="s">
        <v>939</v>
      </c>
      <c r="H339" s="49" t="s">
        <v>31</v>
      </c>
      <c r="I339" s="49" t="s">
        <v>32</v>
      </c>
      <c r="J339" s="49" t="s">
        <v>32</v>
      </c>
      <c r="K339" s="153"/>
      <c r="L339" s="61" t="s">
        <v>34</v>
      </c>
      <c r="M339" s="20" t="s">
        <v>833</v>
      </c>
      <c r="N339" s="20" t="s">
        <v>833</v>
      </c>
      <c r="O339" s="33" t="s">
        <v>834</v>
      </c>
      <c r="P339" s="21"/>
      <c r="Q339" s="21"/>
      <c r="R339" s="21"/>
      <c r="S339" s="21"/>
      <c r="T339" s="21"/>
      <c r="U339" s="20" t="s">
        <v>835</v>
      </c>
      <c r="V339" s="22"/>
      <c r="W339" s="23"/>
      <c r="X339" s="24"/>
      <c r="Y339" s="76" t="s">
        <v>39</v>
      </c>
      <c r="Z339" s="76" t="s">
        <v>940</v>
      </c>
      <c r="AA339" s="76" t="str">
        <f ca="1">Rcrdngs[[#This Row],[Title]]&amp;"."&amp;#REF!</f>
        <v>Karantina – BK (F.57) – Life Story</v>
      </c>
    </row>
    <row r="340" spans="1:27" ht="15" customHeight="1">
      <c r="A340" s="35"/>
      <c r="B340" s="27"/>
      <c r="C340" s="45"/>
      <c r="D340" s="17" t="str" cm="1">
        <f t="array" ref="D340">_xlfn.TEXTJOIN(", ", TRUE(), _xlfn._xlws.FILTER(Speakers_in_Recordings!$B$2:$B$1502,Speakers_in_Recordings!$A$2:$A$1502=Rcrdngs[[#This Row],[Text]],"[no speaker selected in Speakers_in_Recordings]"))</f>
        <v/>
      </c>
      <c r="E340" s="17" t="str" cm="1">
        <f t="array" ref="E340">_xlfn.TEXTJOIN(", ", TRUE(), _xlfn._xlws.FILTER(Sbcts_Rcrdngs[Subject],Sbcts_Rcrdngs[Recording]=Rcrdngs[[#This Row],[Text]],"[no subject selected in Subjects_in_Recordings]"))</f>
        <v/>
      </c>
      <c r="F340" s="18"/>
      <c r="G340" s="19"/>
      <c r="H340" s="49"/>
      <c r="I340" s="49"/>
      <c r="J340" s="49"/>
      <c r="K340" s="153"/>
      <c r="L340" s="61"/>
      <c r="M340" s="20"/>
      <c r="N340" s="20"/>
      <c r="O340" s="21"/>
      <c r="P340" s="21"/>
      <c r="Q340" s="21"/>
      <c r="R340" s="21"/>
      <c r="S340" s="21"/>
      <c r="T340" s="21"/>
      <c r="U340" s="20"/>
      <c r="V340" s="22"/>
      <c r="W340" s="23"/>
      <c r="X340" s="24"/>
      <c r="Y340" s="76"/>
      <c r="Z340" s="76"/>
      <c r="AA340" s="76"/>
    </row>
    <row r="341" spans="1:27" ht="15" customHeight="1">
      <c r="A341" s="82" t="s">
        <v>941</v>
      </c>
      <c r="B341" s="27"/>
      <c r="C341" s="45" t="s">
        <v>868</v>
      </c>
      <c r="D341" s="17" t="str" cm="1">
        <f t="array" ref="D341">_xlfn.TEXTJOIN(", ", TRUE(), _xlfn._xlws.FILTER(Speakers_in_Recordings!$B$2:$B$1502,Speakers_in_Recordings!$A$2:$A$1502=Rcrdngs[[#This Row],[Text]],"[no speaker selected in Speakers_in_Recordings]"))</f>
        <v>LEB_KAR_2022_KD_F.49_Speaker14, AID, CL, LEB_KAR_2022_KZ_M.27_Speaker12</v>
      </c>
      <c r="E341" s="17" t="str" cm="1">
        <f t="array" ref="E341">_xlfn.TEXTJOIN(", ", TRUE(), _xlfn._xlws.FILTER(Sbcts_Rcrdngs[Subject],Sbcts_Rcrdngs[Recording]=Rcrdngs[[#This Row],[Text]],"[no subject selected in Subjects_in_Recordings]"))</f>
        <v>Port Explosion</v>
      </c>
      <c r="F341" s="99">
        <v>44621</v>
      </c>
      <c r="G341" s="19" t="s">
        <v>374</v>
      </c>
      <c r="H341" s="49" t="s">
        <v>31</v>
      </c>
      <c r="I341" s="49" t="s">
        <v>32</v>
      </c>
      <c r="J341" s="49" t="s">
        <v>32</v>
      </c>
      <c r="K341" s="153" t="s">
        <v>33</v>
      </c>
      <c r="L341" s="61" t="s">
        <v>34</v>
      </c>
      <c r="M341" s="20" t="s">
        <v>833</v>
      </c>
      <c r="N341" s="20" t="s">
        <v>833</v>
      </c>
      <c r="O341" s="33" t="s">
        <v>834</v>
      </c>
      <c r="P341" s="21"/>
      <c r="Q341" s="21"/>
      <c r="R341" s="21"/>
      <c r="S341" s="21"/>
      <c r="T341" s="21"/>
      <c r="U341" s="20" t="s">
        <v>835</v>
      </c>
      <c r="V341" s="22"/>
      <c r="W341" s="23"/>
      <c r="X341" s="24"/>
      <c r="Y341" s="76" t="s">
        <v>39</v>
      </c>
      <c r="Z341" s="76"/>
      <c r="AA341" s="76" t="str">
        <f ca="1">Rcrdngs[[#This Row],[Title]]&amp;"."&amp;#REF!</f>
        <v>Karantina – KD (F.49) – Intro; Port Explosion (1.1)</v>
      </c>
    </row>
    <row r="342" spans="1:27" ht="15" customHeight="1">
      <c r="A342" s="82" t="s">
        <v>942</v>
      </c>
      <c r="B342" s="27"/>
      <c r="C342" s="45" t="s">
        <v>868</v>
      </c>
      <c r="D342" s="17" t="str" cm="1">
        <f t="array" ref="D342">_xlfn.TEXTJOIN(", ", TRUE(), _xlfn._xlws.FILTER(Speakers_in_Recordings!$B$2:$B$1502,Speakers_in_Recordings!$A$2:$A$1502=Rcrdngs[[#This Row],[Text]],"[no speaker selected in Speakers_in_Recordings]"))</f>
        <v>LEB_KAR_2022_KD_F.49_Speaker14, LEB_KAR_2022_KZ_M.27_Speaker12, AID, CL</v>
      </c>
      <c r="E342" s="17" t="str" cm="1">
        <f t="array" ref="E342">_xlfn.TEXTJOIN(", ", TRUE(), _xlfn._xlws.FILTER(Sbcts_Rcrdngs[Subject],Sbcts_Rcrdngs[Recording]=Rcrdngs[[#This Row],[Text]],"[no subject selected in Subjects_in_Recordings]"))</f>
        <v>Language and identity</v>
      </c>
      <c r="F342" s="99">
        <v>44621</v>
      </c>
      <c r="G342" s="19" t="s">
        <v>943</v>
      </c>
      <c r="H342" s="49" t="s">
        <v>31</v>
      </c>
      <c r="I342" s="49" t="s">
        <v>32</v>
      </c>
      <c r="J342" s="49" t="s">
        <v>32</v>
      </c>
      <c r="K342" s="153" t="s">
        <v>33</v>
      </c>
      <c r="L342" s="61" t="s">
        <v>34</v>
      </c>
      <c r="M342" s="20" t="s">
        <v>833</v>
      </c>
      <c r="N342" s="20" t="s">
        <v>833</v>
      </c>
      <c r="O342" s="33" t="s">
        <v>834</v>
      </c>
      <c r="P342" s="21"/>
      <c r="Q342" s="21"/>
      <c r="R342" s="21"/>
      <c r="S342" s="21"/>
      <c r="T342" s="21"/>
      <c r="U342" s="20" t="s">
        <v>835</v>
      </c>
      <c r="V342" s="22"/>
      <c r="W342" s="23"/>
      <c r="X342" s="24"/>
      <c r="Y342" s="76" t="s">
        <v>39</v>
      </c>
      <c r="Z342" s="76"/>
      <c r="AA342" s="76" t="str">
        <f ca="1">Rcrdngs[[#This Row],[Title]]&amp;"."&amp;#REF!</f>
        <v>Karantina – KD (F.49) – Germany; Language (1.2)</v>
      </c>
    </row>
    <row r="343" spans="1:27" ht="15" customHeight="1">
      <c r="A343" s="82" t="s">
        <v>944</v>
      </c>
      <c r="B343" s="27"/>
      <c r="C343" s="45" t="s">
        <v>868</v>
      </c>
      <c r="D343" s="17" t="str" cm="1">
        <f t="array" ref="D343">_xlfn.TEXTJOIN(", ", TRUE(), _xlfn._xlws.FILTER(Speakers_in_Recordings!$B$2:$B$1502,Speakers_in_Recordings!$A$2:$A$1502=Rcrdngs[[#This Row],[Text]],"[no speaker selected in Speakers_in_Recordings]"))</f>
        <v>LEB_KAR_2022_KD_F.49_Speaker14, LEB_KAR_2022_KZ_M.27_Speaker12, AID</v>
      </c>
      <c r="E343" s="17" t="str" cm="1">
        <f t="array" ref="E343">_xlfn.TEXTJOIN(", ", TRUE(), _xlfn._xlws.FILTER(Sbcts_Rcrdngs[Subject],Sbcts_Rcrdngs[Recording]=Rcrdngs[[#This Row],[Text]],"[no subject selected in Subjects_in_Recordings]"))</f>
        <v>Migration and diaspora</v>
      </c>
      <c r="F343" s="99">
        <v>44621</v>
      </c>
      <c r="G343" s="19" t="s">
        <v>875</v>
      </c>
      <c r="H343" s="49" t="s">
        <v>31</v>
      </c>
      <c r="I343" s="49" t="s">
        <v>32</v>
      </c>
      <c r="J343" s="49" t="s">
        <v>32</v>
      </c>
      <c r="K343" s="153" t="s">
        <v>33</v>
      </c>
      <c r="L343" s="61" t="s">
        <v>34</v>
      </c>
      <c r="M343" s="20" t="s">
        <v>833</v>
      </c>
      <c r="N343" s="20" t="s">
        <v>833</v>
      </c>
      <c r="O343" s="33" t="s">
        <v>834</v>
      </c>
      <c r="P343" s="21"/>
      <c r="Q343" s="21"/>
      <c r="R343" s="21"/>
      <c r="S343" s="21"/>
      <c r="T343" s="21"/>
      <c r="U343" s="20" t="s">
        <v>835</v>
      </c>
      <c r="V343" s="22"/>
      <c r="W343" s="23"/>
      <c r="X343" s="24"/>
      <c r="Y343" s="76" t="s">
        <v>39</v>
      </c>
      <c r="Z343" s="76"/>
      <c r="AA343" s="76" t="str">
        <f ca="1">Rcrdngs[[#This Row],[Title]]&amp;"."&amp;#REF!</f>
        <v>Karantina – KD (F.49) – Return to Karantina (1.3)</v>
      </c>
    </row>
    <row r="344" spans="1:27" ht="15" customHeight="1">
      <c r="A344" s="82" t="s">
        <v>945</v>
      </c>
      <c r="B344" s="27"/>
      <c r="C344" s="45" t="s">
        <v>868</v>
      </c>
      <c r="D344" s="17" t="str" cm="1">
        <f t="array" ref="D344">_xlfn.TEXTJOIN(", ", TRUE(), _xlfn._xlws.FILTER(Speakers_in_Recordings!$B$2:$B$1502,Speakers_in_Recordings!$A$2:$A$1502=Rcrdngs[[#This Row],[Text]],"[no speaker selected in Speakers_in_Recordings]"))</f>
        <v>LEB_KAR_2022_KD_F.49_Speaker14, LEB_KAR_2022_KZ_M.27_Speaker12, AID</v>
      </c>
      <c r="E344" s="17" t="str" cm="1">
        <f t="array" ref="E344">_xlfn.TEXTJOIN(", ", TRUE(), _xlfn._xlws.FILTER(Sbcts_Rcrdngs[Subject],Sbcts_Rcrdngs[Recording]=Rcrdngs[[#This Row],[Text]],"[no subject selected in Subjects_in_Recordings]"))</f>
        <v>Poverty</v>
      </c>
      <c r="F344" s="99">
        <v>44621</v>
      </c>
      <c r="G344" s="19" t="s">
        <v>946</v>
      </c>
      <c r="H344" s="49" t="s">
        <v>31</v>
      </c>
      <c r="I344" s="49" t="s">
        <v>32</v>
      </c>
      <c r="J344" s="49" t="s">
        <v>32</v>
      </c>
      <c r="K344" s="153" t="s">
        <v>33</v>
      </c>
      <c r="L344" s="61" t="s">
        <v>34</v>
      </c>
      <c r="M344" s="20" t="s">
        <v>833</v>
      </c>
      <c r="N344" s="20" t="s">
        <v>833</v>
      </c>
      <c r="O344" s="33" t="s">
        <v>834</v>
      </c>
      <c r="P344" s="21"/>
      <c r="Q344" s="21"/>
      <c r="R344" s="21"/>
      <c r="S344" s="21"/>
      <c r="T344" s="21"/>
      <c r="U344" s="20" t="s">
        <v>835</v>
      </c>
      <c r="V344" s="22"/>
      <c r="W344" s="23"/>
      <c r="X344" s="24"/>
      <c r="Y344" s="76" t="s">
        <v>39</v>
      </c>
      <c r="Z344" s="76"/>
      <c r="AA344" s="76" t="str">
        <f ca="1">Rcrdngs[[#This Row],[Title]]&amp;"."&amp;#REF!</f>
        <v>Karantina – KD (F.49) – Social Injustice (1.4)</v>
      </c>
    </row>
    <row r="345" spans="1:27" ht="15" customHeight="1">
      <c r="A345" s="82" t="s">
        <v>947</v>
      </c>
      <c r="B345" s="27"/>
      <c r="C345" s="45" t="s">
        <v>868</v>
      </c>
      <c r="D345" s="17" t="str" cm="1">
        <f t="array" ref="D345">_xlfn.TEXTJOIN(", ", TRUE(), _xlfn._xlws.FILTER(Speakers_in_Recordings!$B$2:$B$1502,Speakers_in_Recordings!$A$2:$A$1502=Rcrdngs[[#This Row],[Text]],"[no speaker selected in Speakers_in_Recordings]"))</f>
        <v>LEB_KAR_2022_KD_F.49_Speaker14, LEB_KAR_2022_KZ_M.27_Speaker12, AID</v>
      </c>
      <c r="E345" s="17" t="str" cm="1">
        <f t="array" ref="E345">_xlfn.TEXTJOIN(", ", TRUE(), _xlfn._xlws.FILTER(Sbcts_Rcrdngs[Subject],Sbcts_Rcrdngs[Recording]=Rcrdngs[[#This Row],[Text]],"[no subject selected in Subjects_in_Recordings]"))</f>
        <v>Daily life</v>
      </c>
      <c r="F345" s="99">
        <v>44621</v>
      </c>
      <c r="G345" s="19" t="s">
        <v>948</v>
      </c>
      <c r="H345" s="49" t="s">
        <v>31</v>
      </c>
      <c r="I345" s="49" t="s">
        <v>32</v>
      </c>
      <c r="J345" s="49" t="s">
        <v>32</v>
      </c>
      <c r="K345" s="153" t="s">
        <v>33</v>
      </c>
      <c r="L345" s="61" t="s">
        <v>34</v>
      </c>
      <c r="M345" s="20" t="s">
        <v>833</v>
      </c>
      <c r="N345" s="20" t="s">
        <v>833</v>
      </c>
      <c r="O345" s="33" t="s">
        <v>834</v>
      </c>
      <c r="P345" s="21"/>
      <c r="Q345" s="21"/>
      <c r="R345" s="21"/>
      <c r="S345" s="21"/>
      <c r="T345" s="21"/>
      <c r="U345" s="20" t="s">
        <v>835</v>
      </c>
      <c r="V345" s="22"/>
      <c r="W345" s="23"/>
      <c r="X345" s="24"/>
      <c r="Y345" s="76" t="s">
        <v>39</v>
      </c>
      <c r="Z345" s="76"/>
      <c r="AA345" s="76" t="str">
        <f ca="1">Rcrdngs[[#This Row],[Title]]&amp;"."&amp;#REF!</f>
        <v>Karantina – KD (F.49) – Conversation with KZ; Elections (1.5)</v>
      </c>
    </row>
    <row r="346" spans="1:27" ht="15" customHeight="1">
      <c r="A346" s="82" t="s">
        <v>949</v>
      </c>
      <c r="B346" s="27"/>
      <c r="C346" s="45" t="s">
        <v>868</v>
      </c>
      <c r="D346" s="17" t="str" cm="1">
        <f t="array" ref="D346">_xlfn.TEXTJOIN(", ", TRUE(), _xlfn._xlws.FILTER(Speakers_in_Recordings!$B$2:$B$1502,Speakers_in_Recordings!$A$2:$A$1502=Rcrdngs[[#This Row],[Text]],"[no speaker selected in Speakers_in_Recordings]"))</f>
        <v>LEB_KAR_2022_KD_F.49_Speaker14, CL</v>
      </c>
      <c r="E346" s="17" t="str" cm="1">
        <f t="array" ref="E346">_xlfn.TEXTJOIN(", ", TRUE(), _xlfn._xlws.FILTER(Sbcts_Rcrdngs[Subject],Sbcts_Rcrdngs[Recording]=Rcrdngs[[#This Row],[Text]],"[no subject selected in Subjects_in_Recordings]"))</f>
        <v>Tribal History</v>
      </c>
      <c r="F346" s="99">
        <v>44621</v>
      </c>
      <c r="G346" s="19" t="s">
        <v>86</v>
      </c>
      <c r="H346" s="49" t="s">
        <v>31</v>
      </c>
      <c r="I346" s="49" t="s">
        <v>32</v>
      </c>
      <c r="J346" s="49" t="s">
        <v>32</v>
      </c>
      <c r="K346" s="153" t="s">
        <v>33</v>
      </c>
      <c r="L346" s="61" t="s">
        <v>34</v>
      </c>
      <c r="M346" s="20" t="s">
        <v>833</v>
      </c>
      <c r="N346" s="20" t="s">
        <v>833</v>
      </c>
      <c r="O346" s="33" t="s">
        <v>834</v>
      </c>
      <c r="P346" s="21"/>
      <c r="Q346" s="21"/>
      <c r="R346" s="21"/>
      <c r="S346" s="21"/>
      <c r="T346" s="21"/>
      <c r="U346" s="20" t="s">
        <v>835</v>
      </c>
      <c r="V346" s="22"/>
      <c r="W346" s="23"/>
      <c r="X346" s="24"/>
      <c r="Y346" s="76" t="s">
        <v>39</v>
      </c>
      <c r="Z346" s="76"/>
      <c r="AA346" s="76" t="str">
        <f ca="1">Rcrdngs[[#This Row],[Title]]&amp;"."&amp;#REF!</f>
        <v>Karantina – KD (F.49) – ARMS Dialect; Tribes (2.1)</v>
      </c>
    </row>
    <row r="347" spans="1:27" ht="15" customHeight="1">
      <c r="A347" s="82" t="s">
        <v>950</v>
      </c>
      <c r="B347" s="27"/>
      <c r="C347" s="45" t="s">
        <v>868</v>
      </c>
      <c r="D347" s="17" t="str" cm="1">
        <f t="array" ref="D347">_xlfn.TEXTJOIN(", ", TRUE(), _xlfn._xlws.FILTER(Speakers_in_Recordings!$B$2:$B$1502,Speakers_in_Recordings!$A$2:$A$1502=Rcrdngs[[#This Row],[Text]],"[no speaker selected in Speakers_in_Recordings]"))</f>
        <v>LEB_KAR_2022_KD_F.49_Speaker14, CL</v>
      </c>
      <c r="E347" s="17" t="str" cm="1">
        <f t="array" ref="E347">_xlfn.TEXTJOIN(", ", TRUE(), _xlfn._xlws.FILTER(Sbcts_Rcrdngs[Subject],Sbcts_Rcrdngs[Recording]=Rcrdngs[[#This Row],[Text]],"[no subject selected in Subjects_in_Recordings]"))</f>
        <v>Community identity</v>
      </c>
      <c r="F347" s="99">
        <v>44621</v>
      </c>
      <c r="G347" s="19" t="s">
        <v>565</v>
      </c>
      <c r="H347" s="49" t="s">
        <v>31</v>
      </c>
      <c r="I347" s="49" t="s">
        <v>32</v>
      </c>
      <c r="J347" s="49" t="s">
        <v>32</v>
      </c>
      <c r="K347" s="153" t="s">
        <v>33</v>
      </c>
      <c r="L347" s="61" t="s">
        <v>34</v>
      </c>
      <c r="M347" s="20" t="s">
        <v>833</v>
      </c>
      <c r="N347" s="20" t="s">
        <v>833</v>
      </c>
      <c r="O347" s="33" t="s">
        <v>834</v>
      </c>
      <c r="P347" s="21"/>
      <c r="Q347" s="21"/>
      <c r="R347" s="21"/>
      <c r="S347" s="21"/>
      <c r="T347" s="21"/>
      <c r="U347" s="20" t="s">
        <v>835</v>
      </c>
      <c r="V347" s="22"/>
      <c r="W347" s="23"/>
      <c r="X347" s="24"/>
      <c r="Y347" s="76" t="s">
        <v>39</v>
      </c>
      <c r="Z347" s="76"/>
      <c r="AA347" s="76" t="str">
        <f ca="1">Rcrdngs[[#This Row],[Title]]&amp;"."&amp;#REF!</f>
        <v>Karantina – KD (F.49) – Bedouin Identity (2.2)</v>
      </c>
    </row>
    <row r="348" spans="1:27" ht="15" customHeight="1">
      <c r="A348" s="82" t="s">
        <v>951</v>
      </c>
      <c r="B348" s="27"/>
      <c r="C348" s="45" t="s">
        <v>868</v>
      </c>
      <c r="D348" s="17" t="str" cm="1">
        <f t="array" ref="D348">_xlfn.TEXTJOIN(", ", TRUE(), _xlfn._xlws.FILTER(Speakers_in_Recordings!$B$2:$B$1502,Speakers_in_Recordings!$A$2:$A$1502=Rcrdngs[[#This Row],[Text]],"[no speaker selected in Speakers_in_Recordings]"))</f>
        <v>LEB_KAR_2022_KD_F.49_Speaker14, LEB_KAR_2022_AK_F.21_Speaker15, CL</v>
      </c>
      <c r="E348" s="17" t="str" cm="1">
        <f t="array" ref="E348">_xlfn.TEXTJOIN(", ", TRUE(), _xlfn._xlws.FILTER(Sbcts_Rcrdngs[Subject],Sbcts_Rcrdngs[Recording]=Rcrdngs[[#This Row],[Text]],"[no subject selected in Subjects_in_Recordings]"))</f>
        <v>Tribal Traditions</v>
      </c>
      <c r="F348" s="99">
        <v>44621</v>
      </c>
      <c r="G348" s="19" t="s">
        <v>952</v>
      </c>
      <c r="H348" s="49" t="s">
        <v>31</v>
      </c>
      <c r="I348" s="49" t="s">
        <v>32</v>
      </c>
      <c r="J348" s="49" t="s">
        <v>32</v>
      </c>
      <c r="K348" s="153" t="s">
        <v>33</v>
      </c>
      <c r="L348" s="61" t="s">
        <v>34</v>
      </c>
      <c r="M348" s="20" t="s">
        <v>833</v>
      </c>
      <c r="N348" s="20" t="s">
        <v>833</v>
      </c>
      <c r="O348" s="33" t="s">
        <v>834</v>
      </c>
      <c r="P348" s="21"/>
      <c r="Q348" s="21"/>
      <c r="R348" s="21"/>
      <c r="S348" s="21"/>
      <c r="T348" s="21"/>
      <c r="U348" s="20" t="s">
        <v>835</v>
      </c>
      <c r="V348" s="22"/>
      <c r="W348" s="23"/>
      <c r="X348" s="24"/>
      <c r="Y348" s="76" t="s">
        <v>39</v>
      </c>
      <c r="Z348" s="76"/>
      <c r="AA348" s="76" t="str">
        <f ca="1">Rcrdngs[[#This Row],[Title]]&amp;"."&amp;#REF!</f>
        <v>Karantina – KD (F.49) – Bedouin Traditions; Culture; Daughter (2.3)</v>
      </c>
    </row>
    <row r="349" spans="1:27" ht="15" customHeight="1">
      <c r="A349" s="82" t="s">
        <v>953</v>
      </c>
      <c r="B349" s="27"/>
      <c r="C349" s="45" t="s">
        <v>868</v>
      </c>
      <c r="D349" s="17" t="str" cm="1">
        <f t="array" ref="D349">_xlfn.TEXTJOIN(", ", TRUE(), _xlfn._xlws.FILTER(Speakers_in_Recordings!$B$2:$B$1502,Speakers_in_Recordings!$A$2:$A$1502=Rcrdngs[[#This Row],[Text]],"[no speaker selected in Speakers_in_Recordings]"))</f>
        <v>LEB_KAR_2022_KD_F.49_Speaker14, CL</v>
      </c>
      <c r="E349" s="17" t="str" cm="1">
        <f t="array" ref="E349">_xlfn.TEXTJOIN(", ", TRUE(), _xlfn._xlws.FILTER(Sbcts_Rcrdngs[Subject],Sbcts_Rcrdngs[Recording]=Rcrdngs[[#This Row],[Text]],"[no subject selected in Subjects_in_Recordings]"))</f>
        <v>Language and identity</v>
      </c>
      <c r="F349" s="99">
        <v>44621</v>
      </c>
      <c r="G349" s="19" t="s">
        <v>750</v>
      </c>
      <c r="H349" s="49" t="s">
        <v>31</v>
      </c>
      <c r="I349" s="49" t="s">
        <v>32</v>
      </c>
      <c r="J349" s="49" t="s">
        <v>32</v>
      </c>
      <c r="K349" s="153" t="s">
        <v>33</v>
      </c>
      <c r="L349" s="61" t="s">
        <v>34</v>
      </c>
      <c r="M349" s="20" t="s">
        <v>833</v>
      </c>
      <c r="N349" s="20" t="s">
        <v>833</v>
      </c>
      <c r="O349" s="33" t="s">
        <v>834</v>
      </c>
      <c r="P349" s="21"/>
      <c r="Q349" s="21"/>
      <c r="R349" s="21"/>
      <c r="S349" s="21"/>
      <c r="T349" s="21"/>
      <c r="U349" s="20" t="s">
        <v>835</v>
      </c>
      <c r="V349" s="22"/>
      <c r="W349" s="23"/>
      <c r="X349" s="24"/>
      <c r="Y349" s="76" t="s">
        <v>39</v>
      </c>
      <c r="Z349" s="76"/>
      <c r="AA349" s="76" t="str">
        <f ca="1">Rcrdngs[[#This Row],[Title]]&amp;"."&amp;#REF!</f>
        <v>Karantina – KD (F.49) – Bedouin Dialects; Language Ideologies (2.4)</v>
      </c>
    </row>
    <row r="350" spans="1:27" ht="15" customHeight="1">
      <c r="A350" s="35"/>
      <c r="B350" s="27"/>
      <c r="C350" s="45"/>
      <c r="D350" s="17" t="str" cm="1">
        <f t="array" ref="D350">_xlfn.TEXTJOIN(", ", TRUE(), _xlfn._xlws.FILTER(Speakers_in_Recordings!$B$2:$B$1502,Speakers_in_Recordings!$A$2:$A$1502=Rcrdngs[[#This Row],[Text]],"[no speaker selected in Speakers_in_Recordings]"))</f>
        <v/>
      </c>
      <c r="E350" s="17" t="str" cm="1">
        <f t="array" ref="E350">_xlfn.TEXTJOIN(", ", TRUE(), _xlfn._xlws.FILTER(Sbcts_Rcrdngs[Subject],Sbcts_Rcrdngs[Recording]=Rcrdngs[[#This Row],[Text]],"[no subject selected in Subjects_in_Recordings]"))</f>
        <v/>
      </c>
      <c r="F350" s="18"/>
      <c r="G350" s="19"/>
      <c r="H350" s="49"/>
      <c r="I350" s="49"/>
      <c r="J350" s="49"/>
      <c r="K350" s="153"/>
      <c r="L350" s="61"/>
      <c r="M350" s="20"/>
      <c r="N350" s="20"/>
      <c r="O350" s="21"/>
      <c r="P350" s="21"/>
      <c r="Q350" s="21"/>
      <c r="R350" s="21"/>
      <c r="S350" s="21"/>
      <c r="T350" s="21"/>
      <c r="U350" s="20" t="s">
        <v>835</v>
      </c>
      <c r="V350" s="22"/>
      <c r="W350" s="23"/>
      <c r="X350" s="24"/>
      <c r="Y350" s="76"/>
      <c r="Z350" s="76"/>
      <c r="AA350" s="76"/>
    </row>
    <row r="351" spans="1:27" ht="15" customHeight="1">
      <c r="A351" s="82" t="s">
        <v>954</v>
      </c>
      <c r="B351" s="27"/>
      <c r="C351" s="45" t="s">
        <v>831</v>
      </c>
      <c r="D351" s="17" t="str" cm="1">
        <f t="array" ref="D351">_xlfn.TEXTJOIN(", ", TRUE(), _xlfn._xlws.FILTER(Speakers_in_Recordings!$B$2:$B$1502,Speakers_in_Recordings!$A$2:$A$1502=Rcrdngs[[#This Row],[Text]],"[no speaker selected in Speakers_in_Recordings]"))</f>
        <v>LEB_KAR_2023_SS_F.45_Speaker10, LEB_KAR_2023_CB_F.18_Speaker11, LEB_KAR_2023_AK_F.16_Speaker16, LEB_KAR_2023_NK_F.20_Speaker17, AID, CL</v>
      </c>
      <c r="E351" s="17" t="str" cm="1">
        <f t="array" ref="E351">_xlfn.TEXTJOIN(", ", TRUE(), _xlfn._xlws.FILTER(Sbcts_Rcrdngs[Subject],Sbcts_Rcrdngs[Recording]=Rcrdngs[[#This Row],[Text]],"[no subject selected in Subjects_in_Recordings]"))</f>
        <v>Language and identity</v>
      </c>
      <c r="F351" s="18">
        <v>45063</v>
      </c>
      <c r="G351" s="19" t="s">
        <v>955</v>
      </c>
      <c r="H351" s="49" t="s">
        <v>31</v>
      </c>
      <c r="I351" s="49" t="s">
        <v>46</v>
      </c>
      <c r="J351" s="49" t="s">
        <v>32</v>
      </c>
      <c r="K351" s="153" t="s">
        <v>33</v>
      </c>
      <c r="L351" s="61" t="s">
        <v>34</v>
      </c>
      <c r="M351" s="20" t="s">
        <v>833</v>
      </c>
      <c r="N351" s="20" t="s">
        <v>833</v>
      </c>
      <c r="O351" s="33" t="s">
        <v>834</v>
      </c>
      <c r="P351" s="21"/>
      <c r="Q351" s="21"/>
      <c r="R351" s="21"/>
      <c r="S351" s="21"/>
      <c r="T351" s="21"/>
      <c r="U351" s="20" t="s">
        <v>835</v>
      </c>
      <c r="V351" s="22"/>
      <c r="W351" s="23"/>
      <c r="X351" s="24"/>
      <c r="Y351" s="76" t="s">
        <v>39</v>
      </c>
      <c r="Z351" s="76"/>
      <c r="AA351" s="76" t="str">
        <f ca="1">Rcrdngs[[#This Row],[Title]]&amp;"."&amp;#REF!</f>
        <v>Karantina – SS (F.45) – ARMS Dialect (1.1)</v>
      </c>
    </row>
    <row r="352" spans="1:27" ht="15" customHeight="1">
      <c r="A352" s="82" t="s">
        <v>956</v>
      </c>
      <c r="B352" s="27"/>
      <c r="C352" s="45" t="s">
        <v>831</v>
      </c>
      <c r="D352" s="17" t="str" cm="1">
        <f t="array" ref="D352">_xlfn.TEXTJOIN(", ", TRUE(), _xlfn._xlws.FILTER(Speakers_in_Recordings!$B$2:$B$1502,Speakers_in_Recordings!$A$2:$A$1502=Rcrdngs[[#This Row],[Text]],"[no speaker selected in Speakers_in_Recordings]"))</f>
        <v>LEB_KAR_2023_SS_F.45_Speaker10, LEB_KAR_2023_CB_F.18_Speaker11, LEB_KAR_2023_AK_F.16_Speaker16, LEB_KAR_2023_NK_F.20_Speaker17, LEB_KAR_2023_IS_F.55_Speaker9, CL, AID</v>
      </c>
      <c r="E352" s="17" t="str" cm="1">
        <f t="array" ref="E352">_xlfn.TEXTJOIN(", ", TRUE(), _xlfn._xlws.FILTER(Sbcts_Rcrdngs[Subject],Sbcts_Rcrdngs[Recording]=Rcrdngs[[#This Row],[Text]],"[no subject selected in Subjects_in_Recordings]"))</f>
        <v>Language and identity</v>
      </c>
      <c r="F352" s="18">
        <v>45063</v>
      </c>
      <c r="G352" s="19" t="s">
        <v>957</v>
      </c>
      <c r="H352" s="49" t="s">
        <v>31</v>
      </c>
      <c r="I352" s="49" t="s">
        <v>46</v>
      </c>
      <c r="J352" s="49" t="s">
        <v>32</v>
      </c>
      <c r="K352" s="153" t="s">
        <v>33</v>
      </c>
      <c r="L352" s="61" t="s">
        <v>34</v>
      </c>
      <c r="M352" s="20" t="s">
        <v>833</v>
      </c>
      <c r="N352" s="20" t="s">
        <v>833</v>
      </c>
      <c r="O352" s="33" t="s">
        <v>834</v>
      </c>
      <c r="P352" s="21"/>
      <c r="Q352" s="21"/>
      <c r="R352" s="21"/>
      <c r="S352" s="21"/>
      <c r="T352" s="21"/>
      <c r="U352" s="20" t="s">
        <v>835</v>
      </c>
      <c r="V352" s="22"/>
      <c r="W352" s="23"/>
      <c r="X352" s="24"/>
      <c r="Y352" s="76" t="s">
        <v>39</v>
      </c>
      <c r="Z352" s="76"/>
      <c r="AA352" s="76" t="str">
        <f ca="1">Rcrdngs[[#This Row],[Title]]&amp;"."&amp;#REF!</f>
        <v>Karantina – SS (F.45) – ARMS Dialect (2) (1.2)</v>
      </c>
    </row>
    <row r="353" spans="1:27" ht="15" customHeight="1">
      <c r="A353" s="82" t="s">
        <v>958</v>
      </c>
      <c r="B353" s="27"/>
      <c r="C353" s="45" t="s">
        <v>831</v>
      </c>
      <c r="D353" s="17" t="str" cm="1">
        <f t="array" ref="D353">_xlfn.TEXTJOIN(", ", TRUE(), _xlfn._xlws.FILTER(Speakers_in_Recordings!$B$2:$B$1502,Speakers_in_Recordings!$A$2:$A$1502=Rcrdngs[[#This Row],[Text]],"[no speaker selected in Speakers_in_Recordings]"))</f>
        <v>LEB_KAR_2023_SS_F.45_Speaker10, LEB_KAR_2023_CB_F.18_Speaker11, LEB_KAR_2023_AK_F.16_Speaker16, LEB_KAR_2023_NK_F.20_Speaker17, LEB_KAR_2023_IS_F.55_Speaker9, LEB_KAR_2023_AS_F.56_Speaker8, AID</v>
      </c>
      <c r="E353" s="17" t="str" cm="1">
        <f t="array" ref="E353">_xlfn.TEXTJOIN(", ", TRUE(), _xlfn._xlws.FILTER(Sbcts_Rcrdngs[Subject],Sbcts_Rcrdngs[Recording]=Rcrdngs[[#This Row],[Text]],"[no subject selected in Subjects_in_Recordings]"))</f>
        <v>Daily life</v>
      </c>
      <c r="F353" s="18">
        <v>45063</v>
      </c>
      <c r="G353" s="19" t="s">
        <v>959</v>
      </c>
      <c r="H353" s="49" t="s">
        <v>31</v>
      </c>
      <c r="I353" s="49" t="s">
        <v>46</v>
      </c>
      <c r="J353" s="49" t="s">
        <v>32</v>
      </c>
      <c r="K353" s="153" t="s">
        <v>33</v>
      </c>
      <c r="L353" s="61" t="s">
        <v>34</v>
      </c>
      <c r="M353" s="20" t="s">
        <v>833</v>
      </c>
      <c r="N353" s="20" t="s">
        <v>833</v>
      </c>
      <c r="O353" s="33" t="s">
        <v>834</v>
      </c>
      <c r="P353" s="21"/>
      <c r="Q353" s="21"/>
      <c r="R353" s="21"/>
      <c r="S353" s="21"/>
      <c r="T353" s="21"/>
      <c r="U353" s="20" t="s">
        <v>835</v>
      </c>
      <c r="V353" s="22"/>
      <c r="W353" s="23"/>
      <c r="X353" s="24"/>
      <c r="Y353" s="76" t="s">
        <v>39</v>
      </c>
      <c r="Z353" s="76"/>
      <c r="AA353" s="76" t="str">
        <f ca="1">Rcrdngs[[#This Row],[Title]]&amp;"."&amp;#REF!</f>
        <v>Karantina – SS (F.45) – ARMS: Before and Now (1.3)</v>
      </c>
    </row>
    <row r="354" spans="1:27" ht="15" customHeight="1">
      <c r="A354" s="82" t="s">
        <v>960</v>
      </c>
      <c r="B354" s="27"/>
      <c r="C354" s="45" t="s">
        <v>831</v>
      </c>
      <c r="D354" s="17" t="str" cm="1">
        <f t="array" ref="D354">_xlfn.TEXTJOIN(", ", TRUE(), _xlfn._xlws.FILTER(Speakers_in_Recordings!$B$2:$B$1502,Speakers_in_Recordings!$A$2:$A$1502=Rcrdngs[[#This Row],[Text]],"[no speaker selected in Speakers_in_Recordings]"))</f>
        <v>LEB_KAR_2023_AS_F.56_Speaker8, LEB_KAR_2023_IS_F.55_Speaker9, LEB_KAR_2023_SS_F.45_Speaker10, AID</v>
      </c>
      <c r="E354" s="17" t="str" cm="1">
        <f t="array" ref="E354">_xlfn.TEXTJOIN(", ", TRUE(), _xlfn._xlws.FILTER(Sbcts_Rcrdngs[Subject],Sbcts_Rcrdngs[Recording]=Rcrdngs[[#This Row],[Text]],"[no subject selected in Subjects_in_Recordings]"))</f>
        <v>Language and identity</v>
      </c>
      <c r="F354" s="18">
        <v>45063</v>
      </c>
      <c r="G354" s="19" t="s">
        <v>961</v>
      </c>
      <c r="H354" s="49" t="s">
        <v>31</v>
      </c>
      <c r="I354" s="49" t="s">
        <v>46</v>
      </c>
      <c r="J354" s="49" t="s">
        <v>32</v>
      </c>
      <c r="K354" s="153" t="s">
        <v>33</v>
      </c>
      <c r="L354" s="61" t="s">
        <v>34</v>
      </c>
      <c r="M354" s="20" t="s">
        <v>833</v>
      </c>
      <c r="N354" s="20" t="s">
        <v>833</v>
      </c>
      <c r="O354" s="33" t="s">
        <v>834</v>
      </c>
      <c r="P354" s="21"/>
      <c r="Q354" s="21"/>
      <c r="R354" s="21"/>
      <c r="S354" s="21"/>
      <c r="T354" s="21"/>
      <c r="U354" s="20" t="s">
        <v>835</v>
      </c>
      <c r="V354" s="22"/>
      <c r="W354" s="23"/>
      <c r="X354" s="24"/>
      <c r="Y354" s="76" t="s">
        <v>39</v>
      </c>
      <c r="Z354" s="76"/>
      <c r="AA354" s="76" t="str">
        <f ca="1">Rcrdngs[[#This Row],[Title]]&amp;"."&amp;#REF!</f>
        <v>Karantina – SS (F.45) – Dialect Evolved (2.1)</v>
      </c>
    </row>
    <row r="355" spans="1:27" ht="15" customHeight="1">
      <c r="A355" s="82" t="s">
        <v>962</v>
      </c>
      <c r="B355" s="27"/>
      <c r="C355" s="45" t="s">
        <v>831</v>
      </c>
      <c r="D355" s="17" t="str" cm="1">
        <f t="array" ref="D355">_xlfn.TEXTJOIN(", ", TRUE(), _xlfn._xlws.FILTER(Speakers_in_Recordings!$B$2:$B$1502,Speakers_in_Recordings!$A$2:$A$1502=Rcrdngs[[#This Row],[Text]],"[no speaker selected in Speakers_in_Recordings]"))</f>
        <v>LEB_KAR_2023_AS_F.56_Speaker8, LEB_KAR_2023_IS_F.55_Speaker9, LEB_KAR_2023_SS_F.45_Speaker10, LEB_KAR_2023_CB_F.18_Speaker11, AID</v>
      </c>
      <c r="E355" s="17" t="str" cm="1">
        <f t="array" ref="E355">_xlfn.TEXTJOIN(", ", TRUE(), _xlfn._xlws.FILTER(Sbcts_Rcrdngs[Subject],Sbcts_Rcrdngs[Recording]=Rcrdngs[[#This Row],[Text]],"[no subject selected in Subjects_in_Recordings]"))</f>
        <v>Language and identity</v>
      </c>
      <c r="F355" s="18">
        <v>45063</v>
      </c>
      <c r="G355" s="19" t="s">
        <v>963</v>
      </c>
      <c r="H355" s="49" t="s">
        <v>31</v>
      </c>
      <c r="I355" s="49" t="s">
        <v>46</v>
      </c>
      <c r="J355" s="49" t="s">
        <v>32</v>
      </c>
      <c r="K355" s="153" t="s">
        <v>33</v>
      </c>
      <c r="L355" s="61" t="s">
        <v>34</v>
      </c>
      <c r="M355" s="20" t="s">
        <v>833</v>
      </c>
      <c r="N355" s="20" t="s">
        <v>833</v>
      </c>
      <c r="O355" s="33" t="s">
        <v>834</v>
      </c>
      <c r="P355" s="21"/>
      <c r="Q355" s="21"/>
      <c r="R355" s="21"/>
      <c r="S355" s="21"/>
      <c r="T355" s="21"/>
      <c r="U355" s="20" t="s">
        <v>835</v>
      </c>
      <c r="V355" s="22"/>
      <c r="W355" s="23"/>
      <c r="X355" s="24"/>
      <c r="Y355" s="76" t="s">
        <v>39</v>
      </c>
      <c r="Z355" s="76"/>
      <c r="AA355" s="76" t="str">
        <f ca="1">Rcrdngs[[#This Row],[Title]]&amp;"."&amp;#REF!</f>
        <v>Karantina – SS (F.45) – Secret Code (2.2)</v>
      </c>
    </row>
    <row r="356" spans="1:27" ht="15" customHeight="1">
      <c r="A356" s="82" t="s">
        <v>964</v>
      </c>
      <c r="B356" s="27"/>
      <c r="C356" s="45" t="s">
        <v>831</v>
      </c>
      <c r="D356" s="17" t="str" cm="1">
        <f t="array" ref="D356">_xlfn.TEXTJOIN(", ", TRUE(), _xlfn._xlws.FILTER(Speakers_in_Recordings!$B$2:$B$1502,Speakers_in_Recordings!$A$2:$A$1502=Rcrdngs[[#This Row],[Text]],"[no speaker selected in Speakers_in_Recordings]"))</f>
        <v>LEB_KAR_2023_AS_F.56_Speaker8, LEB_KAR_2023_IS_F.55_Speaker9, LEB_KAR_2023_SS_F.45_Speaker10, AID</v>
      </c>
      <c r="E356" s="17" t="str" cm="1">
        <f t="array" ref="E356">_xlfn.TEXTJOIN(", ", TRUE(), _xlfn._xlws.FILTER(Sbcts_Rcrdngs[Subject],Sbcts_Rcrdngs[Recording]=Rcrdngs[[#This Row],[Text]],"[no subject selected in Subjects_in_Recordings]"))</f>
        <v>Community identity</v>
      </c>
      <c r="F356" s="18">
        <v>45063</v>
      </c>
      <c r="G356" s="19" t="s">
        <v>965</v>
      </c>
      <c r="H356" s="49" t="s">
        <v>31</v>
      </c>
      <c r="I356" s="49" t="s">
        <v>46</v>
      </c>
      <c r="J356" s="49" t="s">
        <v>32</v>
      </c>
      <c r="K356" s="153" t="s">
        <v>33</v>
      </c>
      <c r="L356" s="61" t="s">
        <v>34</v>
      </c>
      <c r="M356" s="20" t="s">
        <v>833</v>
      </c>
      <c r="N356" s="20" t="s">
        <v>833</v>
      </c>
      <c r="O356" s="33" t="s">
        <v>834</v>
      </c>
      <c r="P356" s="21"/>
      <c r="Q356" s="21"/>
      <c r="R356" s="21"/>
      <c r="S356" s="21"/>
      <c r="T356" s="21"/>
      <c r="U356" s="20" t="s">
        <v>835</v>
      </c>
      <c r="V356" s="22"/>
      <c r="W356" s="23"/>
      <c r="X356" s="24"/>
      <c r="Y356" s="76" t="s">
        <v>39</v>
      </c>
      <c r="Z356" s="76"/>
      <c r="AA356" s="76" t="str">
        <f ca="1">Rcrdngs[[#This Row],[Title]]&amp;"."&amp;#REF!</f>
        <v>Karantina – SS (F.45) – Arab Lheb (2.3)</v>
      </c>
    </row>
    <row r="357" spans="1:27" ht="15" customHeight="1">
      <c r="A357" s="82" t="s">
        <v>966</v>
      </c>
      <c r="B357" s="27"/>
      <c r="C357" s="45" t="s">
        <v>831</v>
      </c>
      <c r="D357" s="17" t="str" cm="1">
        <f t="array" ref="D357">_xlfn.TEXTJOIN(", ", TRUE(), _xlfn._xlws.FILTER(Speakers_in_Recordings!$B$2:$B$1502,Speakers_in_Recordings!$A$2:$A$1502=Rcrdngs[[#This Row],[Text]],"[no speaker selected in Speakers_in_Recordings]"))</f>
        <v>LEB_KAR_2023_AS_F.56_Speaker8, LEB_KAR_2023_IS_F.55_Speaker9, LEB_KAR_2023_SS_F.45_Speaker10, LEB_KAR_2023_CB_F.18_Speaker11, AID</v>
      </c>
      <c r="E357" s="17" t="str" cm="1">
        <f t="array" ref="E357">_xlfn.TEXTJOIN(", ", TRUE(), _xlfn._xlws.FILTER(Sbcts_Rcrdngs[Subject],Sbcts_Rcrdngs[Recording]=Rcrdngs[[#This Row],[Text]],"[no subject selected in Subjects_in_Recordings]"))</f>
        <v>Migration and diaspora</v>
      </c>
      <c r="F357" s="18">
        <v>45063</v>
      </c>
      <c r="G357" s="19" t="s">
        <v>158</v>
      </c>
      <c r="H357" s="49" t="s">
        <v>31</v>
      </c>
      <c r="I357" s="49" t="s">
        <v>46</v>
      </c>
      <c r="J357" s="49" t="s">
        <v>32</v>
      </c>
      <c r="K357" s="153" t="s">
        <v>33</v>
      </c>
      <c r="L357" s="61" t="s">
        <v>34</v>
      </c>
      <c r="M357" s="20" t="s">
        <v>833</v>
      </c>
      <c r="N357" s="20" t="s">
        <v>833</v>
      </c>
      <c r="O357" s="33" t="s">
        <v>834</v>
      </c>
      <c r="P357" s="21"/>
      <c r="Q357" s="21"/>
      <c r="R357" s="21"/>
      <c r="S357" s="21"/>
      <c r="T357" s="21"/>
      <c r="U357" s="20" t="s">
        <v>835</v>
      </c>
      <c r="V357" s="22"/>
      <c r="W357" s="23"/>
      <c r="X357" s="24"/>
      <c r="Y357" s="76" t="s">
        <v>39</v>
      </c>
      <c r="Z357" s="76"/>
      <c r="AA357" s="76" t="str">
        <f ca="1">Rcrdngs[[#This Row],[Title]]&amp;"."&amp;#REF!</f>
        <v>Karantina – SS (F.45) – Arab al-Maslakh in Germany (2.4)</v>
      </c>
    </row>
    <row r="358" spans="1:27" ht="15" customHeight="1">
      <c r="A358" s="82" t="s">
        <v>967</v>
      </c>
      <c r="B358" s="27"/>
      <c r="C358" s="45" t="s">
        <v>831</v>
      </c>
      <c r="D358" s="17" t="str" cm="1">
        <f t="array" ref="D358">_xlfn.TEXTJOIN(", ", TRUE(), _xlfn._xlws.FILTER(Speakers_in_Recordings!$B$2:$B$1502,Speakers_in_Recordings!$A$2:$A$1502=Rcrdngs[[#This Row],[Text]],"[no speaker selected in Speakers_in_Recordings]"))</f>
        <v>LEB_KAR_2023_AS_F.56_Speaker8, LEB_KAR_2023_IS_F.55_Speaker9, LEB_KAR_2023_SS_F.45_Speaker10, LEB_KAR_2023_CB_F.18_Speaker11, AID</v>
      </c>
      <c r="E358" s="17" t="str" cm="1">
        <f t="array" ref="E358">_xlfn.TEXTJOIN(", ", TRUE(), _xlfn._xlws.FILTER(Sbcts_Rcrdngs[Subject],Sbcts_Rcrdngs[Recording]=Rcrdngs[[#This Row],[Text]],"[no subject selected in Subjects_in_Recordings]"))</f>
        <v>Migration and diaspora</v>
      </c>
      <c r="F358" s="18">
        <v>45063</v>
      </c>
      <c r="G358" s="19" t="s">
        <v>968</v>
      </c>
      <c r="H358" s="49" t="s">
        <v>31</v>
      </c>
      <c r="I358" s="49" t="s">
        <v>32</v>
      </c>
      <c r="J358" s="49" t="s">
        <v>32</v>
      </c>
      <c r="K358" s="153" t="s">
        <v>33</v>
      </c>
      <c r="L358" s="61" t="s">
        <v>34</v>
      </c>
      <c r="M358" s="20" t="s">
        <v>833</v>
      </c>
      <c r="N358" s="20" t="s">
        <v>833</v>
      </c>
      <c r="O358" s="33" t="s">
        <v>834</v>
      </c>
      <c r="P358" s="21"/>
      <c r="Q358" s="21"/>
      <c r="R358" s="21"/>
      <c r="S358" s="21"/>
      <c r="T358" s="21"/>
      <c r="U358" s="20" t="s">
        <v>835</v>
      </c>
      <c r="V358" s="22"/>
      <c r="W358" s="23"/>
      <c r="X358" s="24"/>
      <c r="Y358" s="76" t="s">
        <v>39</v>
      </c>
      <c r="Z358" s="76"/>
      <c r="AA358" s="76" t="str">
        <f ca="1">Rcrdngs[[#This Row],[Title]]&amp;"."&amp;#REF!</f>
        <v>Karantina – SS (F.45) – Syrians in Karantina (2.5)</v>
      </c>
    </row>
    <row r="359" spans="1:27" ht="15" customHeight="1">
      <c r="A359" s="82" t="s">
        <v>969</v>
      </c>
      <c r="B359" s="27"/>
      <c r="C359" s="45" t="s">
        <v>831</v>
      </c>
      <c r="D359" s="17" t="str" cm="1">
        <f t="array" ref="D359">_xlfn.TEXTJOIN(", ", TRUE(), _xlfn._xlws.FILTER(Speakers_in_Recordings!$B$2:$B$1502,Speakers_in_Recordings!$A$2:$A$1502=Rcrdngs[[#This Row],[Text]],"[no speaker selected in Speakers_in_Recordings]"))</f>
        <v>LEB_KAR_2023_AS_F.56_Speaker8, LEB_KAR_2023_IS_F.55_Speaker9, LEB_KAR_2023_SS_F.45_Speaker10, LEB_KAR_2023_CB_F.18_Speaker11, AID</v>
      </c>
      <c r="E359" s="17" t="str" cm="1">
        <f t="array" ref="E359">_xlfn.TEXTJOIN(", ", TRUE(), _xlfn._xlws.FILTER(Sbcts_Rcrdngs[Subject],Sbcts_Rcrdngs[Recording]=Rcrdngs[[#This Row],[Text]],"[no subject selected in Subjects_in_Recordings]"))</f>
        <v>History general</v>
      </c>
      <c r="F359" s="18">
        <v>45063</v>
      </c>
      <c r="G359" s="19" t="s">
        <v>970</v>
      </c>
      <c r="H359" s="49" t="s">
        <v>31</v>
      </c>
      <c r="I359" s="49" t="s">
        <v>32</v>
      </c>
      <c r="J359" s="49" t="s">
        <v>32</v>
      </c>
      <c r="K359" s="153" t="s">
        <v>33</v>
      </c>
      <c r="L359" s="61" t="s">
        <v>34</v>
      </c>
      <c r="M359" s="20" t="s">
        <v>833</v>
      </c>
      <c r="N359" s="20" t="s">
        <v>833</v>
      </c>
      <c r="O359" s="33" t="s">
        <v>834</v>
      </c>
      <c r="P359" s="21"/>
      <c r="Q359" s="21"/>
      <c r="R359" s="21"/>
      <c r="S359" s="21"/>
      <c r="T359" s="21"/>
      <c r="U359" s="20" t="s">
        <v>835</v>
      </c>
      <c r="V359" s="22"/>
      <c r="W359" s="23"/>
      <c r="X359" s="24"/>
      <c r="Y359" s="76" t="s">
        <v>39</v>
      </c>
      <c r="Z359" s="76"/>
      <c r="AA359" s="76" t="str">
        <f ca="1">Rcrdngs[[#This Row],[Title]]&amp;"."&amp;#REF!</f>
        <v>Karantina – SS (F.45) – Karantina Before (2.6)</v>
      </c>
    </row>
    <row r="360" spans="1:27" ht="15" customHeight="1">
      <c r="A360" s="82" t="s">
        <v>971</v>
      </c>
      <c r="B360" s="27"/>
      <c r="C360" s="45" t="s">
        <v>831</v>
      </c>
      <c r="D360" s="17" t="str" cm="1">
        <f t="array" ref="D360">_xlfn.TEXTJOIN(", ", TRUE(), _xlfn._xlws.FILTER(Speakers_in_Recordings!$B$2:$B$1502,Speakers_in_Recordings!$A$2:$A$1502=Rcrdngs[[#This Row],[Text]],"[no speaker selected in Speakers_in_Recordings]"))</f>
        <v>LEB_KAR_2023_AS_F.56_Speaker8, LEB_KAR_2023_IS_F.55_Speaker9, LEB_KAR_2023_SS_F.45_Speaker10, AID</v>
      </c>
      <c r="E360" s="17" t="str" cm="1">
        <f t="array" ref="E360">_xlfn.TEXTJOIN(", ", TRUE(), _xlfn._xlws.FILTER(Sbcts_Rcrdngs[Subject],Sbcts_Rcrdngs[Recording]=Rcrdngs[[#This Row],[Text]],"[no subject selected in Subjects_in_Recordings]"))</f>
        <v>Marriage</v>
      </c>
      <c r="F360" s="18">
        <v>45063</v>
      </c>
      <c r="G360" s="19" t="s">
        <v>853</v>
      </c>
      <c r="H360" s="49" t="s">
        <v>31</v>
      </c>
      <c r="I360" s="49" t="s">
        <v>32</v>
      </c>
      <c r="J360" s="49" t="s">
        <v>32</v>
      </c>
      <c r="K360" s="153" t="s">
        <v>33</v>
      </c>
      <c r="L360" s="61" t="s">
        <v>34</v>
      </c>
      <c r="M360" s="20" t="s">
        <v>833</v>
      </c>
      <c r="N360" s="20" t="s">
        <v>833</v>
      </c>
      <c r="O360" s="33" t="s">
        <v>834</v>
      </c>
      <c r="P360" s="21"/>
      <c r="Q360" s="21"/>
      <c r="R360" s="21"/>
      <c r="S360" s="21"/>
      <c r="T360" s="21"/>
      <c r="U360" s="20" t="s">
        <v>835</v>
      </c>
      <c r="V360" s="22"/>
      <c r="W360" s="23"/>
      <c r="X360" s="24"/>
      <c r="Y360" s="76" t="s">
        <v>39</v>
      </c>
      <c r="Z360" s="76"/>
      <c r="AA360" s="76" t="str">
        <f ca="1">Rcrdngs[[#This Row],[Title]]&amp;"."&amp;#REF!</f>
        <v>Karantina – SS (F.45) – Marriage among ARMS (2.7)</v>
      </c>
    </row>
    <row r="361" spans="1:27" ht="15" customHeight="1">
      <c r="A361" s="82" t="s">
        <v>972</v>
      </c>
      <c r="B361" s="27"/>
      <c r="C361" s="45" t="s">
        <v>831</v>
      </c>
      <c r="D361" s="17" t="str" cm="1">
        <f t="array" ref="D361">_xlfn.TEXTJOIN(", ", TRUE(), _xlfn._xlws.FILTER(Speakers_in_Recordings!$B$2:$B$1502,Speakers_in_Recordings!$A$2:$A$1502=Rcrdngs[[#This Row],[Text]],"[no speaker selected in Speakers_in_Recordings]"))</f>
        <v>LEB_KAR_2022_CB_F.18_Speaker11, LEB_KAR_2023_AS_F.56_Speaker8, LEB_KAR_2023_IS_F.55_Speaker9, AID, LEB_KAR_2023_SS_F.45_Speaker10</v>
      </c>
      <c r="E361" s="17" t="str" cm="1">
        <f t="array" ref="E361">_xlfn.TEXTJOIN(", ", TRUE(), _xlfn._xlws.FILTER(Sbcts_Rcrdngs[Subject],Sbcts_Rcrdngs[Recording]=Rcrdngs[[#This Row],[Text]],"[no subject selected in Subjects_in_Recordings]"))</f>
        <v>Women's work</v>
      </c>
      <c r="F361" s="18">
        <v>45063</v>
      </c>
      <c r="G361" s="19" t="s">
        <v>973</v>
      </c>
      <c r="H361" s="49" t="s">
        <v>31</v>
      </c>
      <c r="I361" s="49" t="s">
        <v>32</v>
      </c>
      <c r="J361" s="49" t="s">
        <v>32</v>
      </c>
      <c r="K361" s="153" t="s">
        <v>33</v>
      </c>
      <c r="L361" s="61" t="s">
        <v>34</v>
      </c>
      <c r="M361" s="20" t="s">
        <v>833</v>
      </c>
      <c r="N361" s="20" t="s">
        <v>833</v>
      </c>
      <c r="O361" s="33" t="s">
        <v>834</v>
      </c>
      <c r="P361" s="21"/>
      <c r="Q361" s="21"/>
      <c r="R361" s="21"/>
      <c r="S361" s="21"/>
      <c r="T361" s="21"/>
      <c r="U361" s="20" t="s">
        <v>835</v>
      </c>
      <c r="V361" s="22"/>
      <c r="W361" s="23"/>
      <c r="X361" s="24"/>
      <c r="Y361" s="76" t="s">
        <v>39</v>
      </c>
      <c r="Z361" s="76"/>
      <c r="AA361" s="76" t="str">
        <f ca="1">Rcrdngs[[#This Row],[Title]]&amp;"."&amp;#REF!</f>
        <v>Karantina – SS (F.45) – Violence and Women (2.8)</v>
      </c>
    </row>
    <row r="362" spans="1:27" ht="15" customHeight="1">
      <c r="A362" s="82" t="s">
        <v>974</v>
      </c>
      <c r="B362" s="27"/>
      <c r="C362" s="45" t="s">
        <v>831</v>
      </c>
      <c r="D362" s="17" t="str" cm="1">
        <f t="array" ref="D362">_xlfn.TEXTJOIN(", ", TRUE(), _xlfn._xlws.FILTER(Speakers_in_Recordings!$B$2:$B$1502,Speakers_in_Recordings!$A$2:$A$1502=Rcrdngs[[#This Row],[Text]],"[no speaker selected in Speakers_in_Recordings]"))</f>
        <v>LEB_KAR_2023_AS_F.56_Speaker8, AID, LEB_KAR_2023_IS_F.55_Speaker9, LEB_KAR_2023_SS_F.45_Speaker10</v>
      </c>
      <c r="E362" s="17" t="str" cm="1">
        <f t="array" ref="E362">_xlfn.TEXTJOIN(", ", TRUE(), _xlfn._xlws.FILTER(Sbcts_Rcrdngs[Subject],Sbcts_Rcrdngs[Recording]=Rcrdngs[[#This Row],[Text]],"[no subject selected in Subjects_in_Recordings]"))</f>
        <v>Stories, jokes and tales</v>
      </c>
      <c r="F362" s="18">
        <v>45063</v>
      </c>
      <c r="G362" s="19" t="s">
        <v>975</v>
      </c>
      <c r="H362" s="49" t="s">
        <v>31</v>
      </c>
      <c r="I362" s="49" t="s">
        <v>32</v>
      </c>
      <c r="J362" s="49" t="s">
        <v>32</v>
      </c>
      <c r="K362" s="153" t="s">
        <v>33</v>
      </c>
      <c r="L362" s="61" t="s">
        <v>34</v>
      </c>
      <c r="M362" s="20" t="s">
        <v>833</v>
      </c>
      <c r="N362" s="20" t="s">
        <v>833</v>
      </c>
      <c r="O362" s="33" t="s">
        <v>834</v>
      </c>
      <c r="P362" s="21"/>
      <c r="Q362" s="21"/>
      <c r="R362" s="21"/>
      <c r="S362" s="21"/>
      <c r="T362" s="21"/>
      <c r="U362" s="20" t="s">
        <v>835</v>
      </c>
      <c r="V362" s="22"/>
      <c r="W362" s="23"/>
      <c r="X362" s="24"/>
      <c r="Y362" s="76" t="s">
        <v>39</v>
      </c>
      <c r="Z362" s="76"/>
      <c r="AA362" s="76" t="str">
        <f ca="1">Rcrdngs[[#This Row],[Title]]&amp;"."&amp;#REF!</f>
        <v>Karantina – SS (F.45) – Dead Sister (2.9)</v>
      </c>
    </row>
    <row r="363" spans="1:27" ht="15" customHeight="1">
      <c r="A363" s="82" t="s">
        <v>976</v>
      </c>
      <c r="B363" s="27"/>
      <c r="C363" s="45" t="s">
        <v>831</v>
      </c>
      <c r="D363" s="17" t="str" cm="1">
        <f t="array" ref="D363">_xlfn.TEXTJOIN(", ", TRUE(), _xlfn._xlws.FILTER(Speakers_in_Recordings!$B$2:$B$1502,Speakers_in_Recordings!$A$2:$A$1502=Rcrdngs[[#This Row],[Text]],"[no speaker selected in Speakers_in_Recordings]"))</f>
        <v>LEB_KAR_2023_AS_F.56_Speaker8, LEB_KAR_2023_IS_F.55_Speaker9, LEB_KAR_2023_SS_F.45_Speaker10, AID</v>
      </c>
      <c r="E363" s="17" t="str" cm="1">
        <f t="array" ref="E363">_xlfn.TEXTJOIN(", ", TRUE(), _xlfn._xlws.FILTER(Sbcts_Rcrdngs[Subject],Sbcts_Rcrdngs[Recording]=Rcrdngs[[#This Row],[Text]],"[no subject selected in Subjects_in_Recordings]"))</f>
        <v>Stories, jokes and tales</v>
      </c>
      <c r="F363" s="18">
        <v>45063</v>
      </c>
      <c r="G363" s="19" t="s">
        <v>961</v>
      </c>
      <c r="H363" s="49" t="s">
        <v>31</v>
      </c>
      <c r="I363" s="49" t="s">
        <v>32</v>
      </c>
      <c r="J363" s="49" t="s">
        <v>32</v>
      </c>
      <c r="K363" s="153" t="s">
        <v>33</v>
      </c>
      <c r="L363" s="61" t="s">
        <v>34</v>
      </c>
      <c r="M363" s="20" t="s">
        <v>833</v>
      </c>
      <c r="N363" s="20" t="s">
        <v>833</v>
      </c>
      <c r="O363" s="33" t="s">
        <v>834</v>
      </c>
      <c r="P363" s="21"/>
      <c r="Q363" s="21"/>
      <c r="R363" s="21"/>
      <c r="S363" s="21"/>
      <c r="T363" s="21"/>
      <c r="U363" s="20" t="s">
        <v>835</v>
      </c>
      <c r="V363" s="22"/>
      <c r="W363" s="23"/>
      <c r="X363" s="24"/>
      <c r="Y363" s="76" t="s">
        <v>39</v>
      </c>
      <c r="Z363" s="76"/>
      <c r="AA363" s="76" t="str">
        <f ca="1">Rcrdngs[[#This Row],[Title]]&amp;"."&amp;#REF!</f>
        <v>Karantina – SS (F.45) – Story: Neighbor (2.10)</v>
      </c>
    </row>
    <row r="364" spans="1:27" ht="15" customHeight="1">
      <c r="A364" s="82" t="s">
        <v>977</v>
      </c>
      <c r="B364" s="27"/>
      <c r="C364" s="45" t="s">
        <v>831</v>
      </c>
      <c r="D364" s="17" t="str" cm="1">
        <f t="array" ref="D364">_xlfn.TEXTJOIN(", ", TRUE(), _xlfn._xlws.FILTER(Speakers_in_Recordings!$B$2:$B$1502,Speakers_in_Recordings!$A$2:$A$1502=Rcrdngs[[#This Row],[Text]],"[no speaker selected in Speakers_in_Recordings]"))</f>
        <v>LEB_KAR_2023_AS_F.56_Speaker8, LEB_KAR_2023_IS_F.55_Speaker9, LEB_KAR_2023_SS_F.45_Speaker10, LEB_KAR_2023_CB_F.18_Speaker11, AID</v>
      </c>
      <c r="E364" s="17" t="str" cm="1">
        <f t="array" ref="E364">_xlfn.TEXTJOIN(", ", TRUE(), _xlfn._xlws.FILTER(Sbcts_Rcrdngs[Subject],Sbcts_Rcrdngs[Recording]=Rcrdngs[[#This Row],[Text]],"[no subject selected in Subjects_in_Recordings]"))</f>
        <v>Stories, jokes and tales</v>
      </c>
      <c r="F364" s="18">
        <v>45063</v>
      </c>
      <c r="G364" s="19" t="s">
        <v>359</v>
      </c>
      <c r="H364" s="49" t="s">
        <v>31</v>
      </c>
      <c r="I364" s="49" t="s">
        <v>32</v>
      </c>
      <c r="J364" s="49" t="s">
        <v>32</v>
      </c>
      <c r="K364" s="153" t="s">
        <v>33</v>
      </c>
      <c r="L364" s="61" t="s">
        <v>34</v>
      </c>
      <c r="M364" s="20" t="s">
        <v>833</v>
      </c>
      <c r="N364" s="20" t="s">
        <v>833</v>
      </c>
      <c r="O364" s="33" t="s">
        <v>834</v>
      </c>
      <c r="P364" s="21"/>
      <c r="Q364" s="21"/>
      <c r="R364" s="21"/>
      <c r="S364" s="21"/>
      <c r="T364" s="21"/>
      <c r="U364" s="20" t="s">
        <v>835</v>
      </c>
      <c r="V364" s="22"/>
      <c r="W364" s="23"/>
      <c r="X364" s="24"/>
      <c r="Y364" s="76" t="s">
        <v>39</v>
      </c>
      <c r="Z364" s="76"/>
      <c r="AA364" s="76" t="str">
        <f ca="1">Rcrdngs[[#This Row],[Title]]&amp;"."&amp;#REF!</f>
        <v>Karantina – SS (F.45) – Story: Dead People (2.11)</v>
      </c>
    </row>
    <row r="365" spans="1:27" ht="15" customHeight="1">
      <c r="A365" s="82" t="s">
        <v>978</v>
      </c>
      <c r="B365" s="27"/>
      <c r="C365" s="45" t="s">
        <v>831</v>
      </c>
      <c r="D365" s="17" t="str" cm="1">
        <f t="array" ref="D365">_xlfn.TEXTJOIN(", ", TRUE(), _xlfn._xlws.FILTER(Speakers_in_Recordings!$B$2:$B$1502,Speakers_in_Recordings!$A$2:$A$1502=Rcrdngs[[#This Row],[Text]],"[no speaker selected in Speakers_in_Recordings]"))</f>
        <v>LEB_KAR_2023_SS_F.45_Speaker10, LEB_KAR_2023_CB_F.18_Speaker11, AID</v>
      </c>
      <c r="E365" s="17" t="str" cm="1">
        <f t="array" ref="E365">_xlfn.TEXTJOIN(", ", TRUE(), _xlfn._xlws.FILTER(Sbcts_Rcrdngs[Subject],Sbcts_Rcrdngs[Recording]=Rcrdngs[[#This Row],[Text]],"[no subject selected in Subjects_in_Recordings]"))</f>
        <v>Stories, jokes and tales</v>
      </c>
      <c r="F365" s="18">
        <v>45063</v>
      </c>
      <c r="G365" s="19" t="s">
        <v>979</v>
      </c>
      <c r="H365" s="49" t="s">
        <v>31</v>
      </c>
      <c r="I365" s="49" t="s">
        <v>32</v>
      </c>
      <c r="J365" s="49" t="s">
        <v>32</v>
      </c>
      <c r="K365" s="153" t="s">
        <v>33</v>
      </c>
      <c r="L365" s="61" t="s">
        <v>34</v>
      </c>
      <c r="M365" s="20" t="s">
        <v>833</v>
      </c>
      <c r="N365" s="20" t="s">
        <v>833</v>
      </c>
      <c r="O365" s="33" t="s">
        <v>834</v>
      </c>
      <c r="P365" s="21"/>
      <c r="Q365" s="21"/>
      <c r="R365" s="21"/>
      <c r="S365" s="21"/>
      <c r="T365" s="21"/>
      <c r="U365" s="20" t="s">
        <v>835</v>
      </c>
      <c r="V365" s="22"/>
      <c r="W365" s="23"/>
      <c r="X365" s="24"/>
      <c r="Y365" s="76" t="s">
        <v>39</v>
      </c>
      <c r="Z365" s="76"/>
      <c r="AA365" s="76" t="str">
        <f ca="1">Rcrdngs[[#This Row],[Title]]&amp;"."&amp;#REF!</f>
        <v>Karantina – SS (F.45) – Ex-Fiancée (2.12)</v>
      </c>
    </row>
    <row r="366" spans="1:27" ht="15" customHeight="1">
      <c r="A366" s="82" t="s">
        <v>980</v>
      </c>
      <c r="B366" s="27"/>
      <c r="C366" s="45" t="s">
        <v>831</v>
      </c>
      <c r="D366" s="17" t="str" cm="1">
        <f t="array" ref="D366">_xlfn.TEXTJOIN(", ", TRUE(), _xlfn._xlws.FILTER(Speakers_in_Recordings!$B$2:$B$1502,Speakers_in_Recordings!$A$2:$A$1502=Rcrdngs[[#This Row],[Text]],"[no speaker selected in Speakers_in_Recordings]"))</f>
        <v>LEB_KAR_2023_SS_F.45_Speaker10, LEB_KAR_2023_CB_F.18_Speaker11, AID</v>
      </c>
      <c r="E366" s="17" t="str" cm="1">
        <f t="array" ref="E366">_xlfn.TEXTJOIN(", ", TRUE(), _xlfn._xlws.FILTER(Sbcts_Rcrdngs[Subject],Sbcts_Rcrdngs[Recording]=Rcrdngs[[#This Row],[Text]],"[no subject selected in Subjects_in_Recordings]"))</f>
        <v>Stories, jokes and tales</v>
      </c>
      <c r="F366" s="18">
        <v>45063</v>
      </c>
      <c r="G366" s="19" t="s">
        <v>981</v>
      </c>
      <c r="H366" s="49" t="s">
        <v>31</v>
      </c>
      <c r="I366" s="49" t="s">
        <v>32</v>
      </c>
      <c r="J366" s="49" t="s">
        <v>32</v>
      </c>
      <c r="K366" s="153" t="s">
        <v>33</v>
      </c>
      <c r="L366" s="61" t="s">
        <v>34</v>
      </c>
      <c r="M366" s="20" t="s">
        <v>833</v>
      </c>
      <c r="N366" s="20" t="s">
        <v>833</v>
      </c>
      <c r="O366" s="33" t="s">
        <v>834</v>
      </c>
      <c r="P366" s="21"/>
      <c r="Q366" s="21"/>
      <c r="R366" s="21"/>
      <c r="S366" s="21"/>
      <c r="T366" s="21"/>
      <c r="U366" s="20" t="s">
        <v>835</v>
      </c>
      <c r="V366" s="22"/>
      <c r="W366" s="23"/>
      <c r="X366" s="24"/>
      <c r="Y366" s="76" t="s">
        <v>39</v>
      </c>
      <c r="Z366" s="76"/>
      <c r="AA366" s="76" t="str">
        <f ca="1">Rcrdngs[[#This Row],[Title]]&amp;"."&amp;#REF!</f>
        <v>Karantina – SS (F.45) – Ex-Fiancée (Part 2) (2.13)</v>
      </c>
    </row>
    <row r="367" spans="1:27" ht="15" customHeight="1">
      <c r="A367" s="35"/>
      <c r="B367" s="27"/>
      <c r="C367" s="20"/>
      <c r="D367" s="17" t="str" cm="1">
        <f t="array" ref="D367">_xlfn.TEXTJOIN(", ", TRUE(), _xlfn._xlws.FILTER(Speakers_in_Recordings!$B$2:$B$1502,Speakers_in_Recordings!$A$2:$A$1502=Rcrdngs[[#This Row],[Text]],"[no speaker selected in Speakers_in_Recordings]"))</f>
        <v/>
      </c>
      <c r="E367" s="17" t="str" cm="1">
        <f t="array" ref="E367">_xlfn.TEXTJOIN(", ", TRUE(), _xlfn._xlws.FILTER(Sbcts_Rcrdngs[Subject],Sbcts_Rcrdngs[Recording]=Rcrdngs[[#This Row],[Text]],"[no subject selected in Subjects_in_Recordings]"))</f>
        <v/>
      </c>
      <c r="F367" s="18"/>
      <c r="G367" s="19"/>
      <c r="H367" s="49"/>
      <c r="I367" s="49"/>
      <c r="J367" s="49"/>
      <c r="K367" s="153"/>
      <c r="L367" s="61"/>
      <c r="M367" s="20"/>
      <c r="N367" s="20"/>
      <c r="O367" s="21"/>
      <c r="P367" s="21"/>
      <c r="Q367" s="21"/>
      <c r="R367" s="21"/>
      <c r="S367" s="21"/>
      <c r="T367" s="21"/>
      <c r="U367" s="20" t="s">
        <v>835</v>
      </c>
      <c r="V367" s="22"/>
      <c r="W367" s="23"/>
      <c r="X367" s="181"/>
      <c r="Y367" s="76"/>
      <c r="Z367" s="76"/>
      <c r="AA367" s="76"/>
    </row>
    <row r="368" spans="1:27" ht="15" customHeight="1">
      <c r="A368" s="82" t="s">
        <v>982</v>
      </c>
      <c r="B368" s="27"/>
      <c r="C368" s="45" t="s">
        <v>983</v>
      </c>
      <c r="D368" s="17" t="str" cm="1">
        <f t="array" ref="D368">_xlfn.TEXTJOIN(", ", TRUE(), _xlfn._xlws.FILTER(Speakers_in_Recordings!$B$2:$B$1502,Speakers_in_Recordings!$A$2:$A$1502=Rcrdngs[[#This Row],[Text]],"[no speaker selected in Speakers_in_Recordings]"))</f>
        <v>LEB_KAR_2022_JS_F.19_Speaker19, CL, AID</v>
      </c>
      <c r="E368" s="17" t="str" cm="1">
        <f t="array" ref="E368">_xlfn.TEXTJOIN(", ", TRUE(), _xlfn._xlws.FILTER(Sbcts_Rcrdngs[Subject],Sbcts_Rcrdngs[Recording]=Rcrdngs[[#This Row],[Text]],"[no subject selected in Subjects_in_Recordings]"))</f>
        <v>Education, Daily life, Language and identity</v>
      </c>
      <c r="F368" s="18">
        <v>44618</v>
      </c>
      <c r="G368" s="19" t="s">
        <v>984</v>
      </c>
      <c r="H368" s="49" t="s">
        <v>31</v>
      </c>
      <c r="I368" s="49" t="s">
        <v>46</v>
      </c>
      <c r="J368" s="49" t="s">
        <v>32</v>
      </c>
      <c r="K368" s="153"/>
      <c r="L368" s="61" t="s">
        <v>34</v>
      </c>
      <c r="M368" s="20" t="s">
        <v>933</v>
      </c>
      <c r="N368" s="20" t="s">
        <v>833</v>
      </c>
      <c r="O368" s="20"/>
      <c r="P368" s="21"/>
      <c r="Q368" s="21"/>
      <c r="R368" s="21"/>
      <c r="S368" s="21"/>
      <c r="T368" s="21"/>
      <c r="U368" s="20" t="s">
        <v>835</v>
      </c>
      <c r="V368" s="22"/>
      <c r="W368" s="23"/>
      <c r="X368" s="24"/>
      <c r="Y368" s="76" t="s">
        <v>39</v>
      </c>
      <c r="Z368" s="76"/>
      <c r="AA368" s="76" t="str">
        <f ca="1">Rcrdngs[[#This Row],[Title]]&amp;"."&amp;#REF!</f>
        <v>Karantina – JS (F.19) – All</v>
      </c>
    </row>
    <row r="369" spans="1:27" ht="15" customHeight="1">
      <c r="A369" s="82" t="s">
        <v>985</v>
      </c>
      <c r="B369" s="27"/>
      <c r="C369" s="45" t="s">
        <v>983</v>
      </c>
      <c r="D369" s="17" t="str" cm="1">
        <f t="array" ref="D369">_xlfn.TEXTJOIN(", ", TRUE(), _xlfn._xlws.FILTER(Speakers_in_Recordings!$B$2:$B$1502,Speakers_in_Recordings!$A$2:$A$1502=Rcrdngs[[#This Row],[Text]],"[no speaker selected in Speakers_in_Recordings]"))</f>
        <v>LEB_KAR_2023_S3_M.34_Speaker28, LEB_KAR_2023_S1_M.23_Speaker26, LEB_KAR_2023_S2_M.26_Speaker27, CL</v>
      </c>
      <c r="E369" s="17" t="str" cm="1">
        <f t="array" ref="E369">_xlfn.TEXTJOIN(", ", TRUE(), _xlfn._xlws.FILTER(Sbcts_Rcrdngs[Subject],Sbcts_Rcrdngs[Recording]=Rcrdngs[[#This Row],[Text]],"[no subject selected in Subjects_in_Recordings]"))</f>
        <v>Language and identity, Community identity, Migration and diaspora, Neighborhood</v>
      </c>
      <c r="F369" s="18">
        <v>44618</v>
      </c>
      <c r="G369" s="19" t="s">
        <v>986</v>
      </c>
      <c r="H369" s="49" t="s">
        <v>31</v>
      </c>
      <c r="I369" s="49" t="s">
        <v>32</v>
      </c>
      <c r="J369" s="49" t="s">
        <v>32</v>
      </c>
      <c r="K369" s="153"/>
      <c r="L369" s="61" t="s">
        <v>34</v>
      </c>
      <c r="M369" s="20" t="s">
        <v>933</v>
      </c>
      <c r="N369" s="20" t="s">
        <v>833</v>
      </c>
      <c r="O369" s="20"/>
      <c r="P369" s="21"/>
      <c r="Q369" s="21"/>
      <c r="R369" s="21"/>
      <c r="S369" s="21"/>
      <c r="T369" s="21"/>
      <c r="U369" s="20" t="s">
        <v>835</v>
      </c>
      <c r="V369" s="22"/>
      <c r="W369" s="23"/>
      <c r="X369" s="24"/>
      <c r="Y369" s="76" t="s">
        <v>39</v>
      </c>
      <c r="Z369" s="76"/>
      <c r="AA369" s="162" t="s">
        <v>987</v>
      </c>
    </row>
    <row r="370" spans="1:27" ht="15" customHeight="1">
      <c r="A370" s="35"/>
      <c r="B370" s="27"/>
      <c r="C370" s="20"/>
      <c r="D370" s="17" t="str" cm="1">
        <f t="array" ref="D370">_xlfn.TEXTJOIN(", ", TRUE(), _xlfn._xlws.FILTER(Speakers_in_Recordings!$B$2:$B$1502,Speakers_in_Recordings!$A$2:$A$1502=Rcrdngs[[#This Row],[Text]],"[no speaker selected in Speakers_in_Recordings]"))</f>
        <v/>
      </c>
      <c r="E370" s="17" t="str" cm="1">
        <f t="array" ref="E370">_xlfn.TEXTJOIN(", ", TRUE(), _xlfn._xlws.FILTER(Sbcts_Rcrdngs[Subject],Sbcts_Rcrdngs[Recording]=Rcrdngs[[#This Row],[Text]],"[no subject selected in Subjects_in_Recordings]"))</f>
        <v/>
      </c>
      <c r="F370" s="18"/>
      <c r="G370" s="19"/>
      <c r="H370" s="49"/>
      <c r="I370" s="49"/>
      <c r="J370" s="49"/>
      <c r="K370" s="153"/>
      <c r="L370" s="61"/>
      <c r="M370" s="20"/>
      <c r="N370" s="20"/>
      <c r="O370" s="20"/>
      <c r="P370" s="21"/>
      <c r="Q370" s="21"/>
      <c r="R370" s="21"/>
      <c r="S370" s="21"/>
      <c r="T370" s="21"/>
      <c r="U370" s="20"/>
      <c r="V370" s="22"/>
      <c r="W370" s="23"/>
      <c r="X370" s="181"/>
      <c r="Y370" s="76"/>
      <c r="Z370" s="76"/>
      <c r="AA370" s="162"/>
    </row>
    <row r="371" spans="1:27" ht="15" customHeight="1">
      <c r="A371" s="82" t="s">
        <v>988</v>
      </c>
      <c r="B371" s="27"/>
      <c r="C371" s="45" t="s">
        <v>831</v>
      </c>
      <c r="D371" s="17" t="str" cm="1">
        <f t="array" ref="D371">_xlfn.TEXTJOIN(", ", TRUE(), _xlfn._xlws.FILTER(Speakers_in_Recordings!$B$2:$B$1502,Speakers_in_Recordings!$A$2:$A$1502=Rcrdngs[[#This Row],[Text]],"[no speaker selected in Speakers_in_Recordings]"))</f>
        <v>LEB_NAA_2023_AD_F.67_Speaker1, LEB_KAR_2022_KZ_M.27_Speaker12</v>
      </c>
      <c r="E371" s="17" t="str" cm="1">
        <f t="array" ref="E371">_xlfn.TEXTJOIN(", ", TRUE(), _xlfn._xlws.FILTER(Sbcts_Rcrdngs[Subject],Sbcts_Rcrdngs[Recording]=Rcrdngs[[#This Row],[Text]],"[no subject selected in Subjects_in_Recordings]"))</f>
        <v>Childhood</v>
      </c>
      <c r="F371" s="18">
        <v>45063</v>
      </c>
      <c r="G371" s="19" t="s">
        <v>862</v>
      </c>
      <c r="H371" s="49" t="s">
        <v>274</v>
      </c>
      <c r="I371" s="49" t="s">
        <v>32</v>
      </c>
      <c r="J371" s="49"/>
      <c r="K371" s="153"/>
      <c r="L371" s="61" t="s">
        <v>34</v>
      </c>
      <c r="M371" s="20" t="s">
        <v>833</v>
      </c>
      <c r="N371" s="20" t="s">
        <v>833</v>
      </c>
      <c r="O371" s="33"/>
      <c r="P371" s="21"/>
      <c r="Q371" s="21"/>
      <c r="R371" s="21"/>
      <c r="S371" s="21"/>
      <c r="T371" s="21"/>
      <c r="U371" s="20" t="s">
        <v>989</v>
      </c>
      <c r="V371" s="22"/>
      <c r="W371" s="23"/>
      <c r="X371" s="24"/>
      <c r="Y371" s="76" t="s">
        <v>39</v>
      </c>
      <c r="Z371" s="76"/>
      <c r="AA371" s="76" t="str">
        <f ca="1">Rcrdngs[[#This Row],[Title]]&amp;"."&amp;#REF!</f>
        <v>Naameh – AD (F.67) – Maslakh Before (1)</v>
      </c>
    </row>
    <row r="372" spans="1:27" ht="15" customHeight="1">
      <c r="A372" s="82" t="s">
        <v>990</v>
      </c>
      <c r="B372" s="27"/>
      <c r="C372" s="45" t="s">
        <v>831</v>
      </c>
      <c r="D372" s="17" t="str" cm="1">
        <f t="array" ref="D372">_xlfn.TEXTJOIN(", ", TRUE(), _xlfn._xlws.FILTER(Speakers_in_Recordings!$B$2:$B$1502,Speakers_in_Recordings!$A$2:$A$1502=Rcrdngs[[#This Row],[Text]],"[no speaker selected in Speakers_in_Recordings]"))</f>
        <v>LEB_NAA_2023_AD_F.67_Speaker1, LEB_KAR_2022_KZ_M.27_Speaker12</v>
      </c>
      <c r="E372" s="17" t="str" cm="1">
        <f t="array" ref="E372">_xlfn.TEXTJOIN(", ", TRUE(), _xlfn._xlws.FILTER(Sbcts_Rcrdngs[Subject],Sbcts_Rcrdngs[Recording]=Rcrdngs[[#This Row],[Text]],"[no subject selected in Subjects_in_Recordings]"))</f>
        <v>Childhood</v>
      </c>
      <c r="F372" s="18">
        <v>45063</v>
      </c>
      <c r="G372" s="19" t="s">
        <v>991</v>
      </c>
      <c r="H372" s="49" t="s">
        <v>274</v>
      </c>
      <c r="I372" s="49" t="s">
        <v>32</v>
      </c>
      <c r="J372" s="49"/>
      <c r="K372" s="153"/>
      <c r="L372" s="61" t="s">
        <v>34</v>
      </c>
      <c r="M372" s="20" t="s">
        <v>833</v>
      </c>
      <c r="N372" s="20" t="s">
        <v>833</v>
      </c>
      <c r="O372" s="33"/>
      <c r="P372" s="21"/>
      <c r="Q372" s="21"/>
      <c r="R372" s="21"/>
      <c r="S372" s="21"/>
      <c r="T372" s="21"/>
      <c r="U372" s="20" t="s">
        <v>989</v>
      </c>
      <c r="V372" s="22"/>
      <c r="W372" s="23"/>
      <c r="X372" s="24"/>
      <c r="Y372" s="76" t="s">
        <v>39</v>
      </c>
      <c r="Z372" s="76"/>
      <c r="AA372" s="76" t="str">
        <f ca="1">Rcrdngs[[#This Row],[Title]]&amp;"."&amp;#REF!</f>
        <v>Naameh – AD (F.67) – Maslakh Before (2)</v>
      </c>
    </row>
    <row r="373" spans="1:27" ht="15" customHeight="1">
      <c r="A373" s="82" t="s">
        <v>992</v>
      </c>
      <c r="B373" s="27"/>
      <c r="C373" s="45" t="s">
        <v>831</v>
      </c>
      <c r="D373" s="17" t="str" cm="1">
        <f t="array" ref="D373">_xlfn.TEXTJOIN(", ", TRUE(), _xlfn._xlws.FILTER(Speakers_in_Recordings!$B$2:$B$1502,Speakers_in_Recordings!$A$2:$A$1502=Rcrdngs[[#This Row],[Text]],"[no speaker selected in Speakers_in_Recordings]"))</f>
        <v>LEB_NAA_2023_AD_F.67_Speaker1, LEB_KAR_2022_KZ_M.27_Speaker12</v>
      </c>
      <c r="E373" s="17" t="str" cm="1">
        <f t="array" ref="E373">_xlfn.TEXTJOIN(", ", TRUE(), _xlfn._xlws.FILTER(Sbcts_Rcrdngs[Subject],Sbcts_Rcrdngs[Recording]=Rcrdngs[[#This Row],[Text]],"[no subject selected in Subjects_in_Recordings]"))</f>
        <v>Exile</v>
      </c>
      <c r="F373" s="18">
        <v>45063</v>
      </c>
      <c r="G373" s="19" t="s">
        <v>993</v>
      </c>
      <c r="H373" s="49" t="s">
        <v>274</v>
      </c>
      <c r="I373" s="49" t="s">
        <v>32</v>
      </c>
      <c r="J373" s="49"/>
      <c r="K373" s="153"/>
      <c r="L373" s="61" t="s">
        <v>34</v>
      </c>
      <c r="M373" s="20" t="s">
        <v>833</v>
      </c>
      <c r="N373" s="20" t="s">
        <v>833</v>
      </c>
      <c r="O373" s="21"/>
      <c r="P373" s="21"/>
      <c r="Q373" s="21"/>
      <c r="R373" s="21"/>
      <c r="S373" s="21"/>
      <c r="T373" s="21"/>
      <c r="U373" s="20" t="s">
        <v>989</v>
      </c>
      <c r="V373" s="22"/>
      <c r="W373" s="23"/>
      <c r="X373" s="24"/>
      <c r="Y373" s="76" t="s">
        <v>39</v>
      </c>
      <c r="Z373" s="76"/>
      <c r="AA373" s="76" t="str">
        <f ca="1">Rcrdngs[[#This Row],[Title]]&amp;"."&amp;#REF!</f>
        <v>Naameh – AD (F.67) – Maslakh Before (3)</v>
      </c>
    </row>
    <row r="374" spans="1:27" ht="15" customHeight="1">
      <c r="A374" s="82" t="s">
        <v>994</v>
      </c>
      <c r="B374" s="27"/>
      <c r="C374" s="45" t="s">
        <v>831</v>
      </c>
      <c r="D374" s="17" t="str" cm="1">
        <f t="array" ref="D374">_xlfn.TEXTJOIN(", ", TRUE(), _xlfn._xlws.FILTER(Speakers_in_Recordings!$B$2:$B$1502,Speakers_in_Recordings!$A$2:$A$1502=Rcrdngs[[#This Row],[Text]],"[no speaker selected in Speakers_in_Recordings]"))</f>
        <v>LEB_NAA_2023_AD_F.67_Speaker1, LEB_KAR_2022_KZ_M.27_Speaker12</v>
      </c>
      <c r="E374" s="17" t="str" cm="1">
        <f t="array" ref="E374">_xlfn.TEXTJOIN(", ", TRUE(), _xlfn._xlws.FILTER(Sbcts_Rcrdngs[Subject],Sbcts_Rcrdngs[Recording]=Rcrdngs[[#This Row],[Text]],"[no subject selected in Subjects_in_Recordings]"))</f>
        <v>Community identity</v>
      </c>
      <c r="F374" s="18">
        <v>45063</v>
      </c>
      <c r="G374" s="19" t="s">
        <v>995</v>
      </c>
      <c r="H374" s="49" t="s">
        <v>274</v>
      </c>
      <c r="I374" s="49" t="s">
        <v>32</v>
      </c>
      <c r="J374" s="49"/>
      <c r="K374" s="153"/>
      <c r="L374" s="61" t="s">
        <v>34</v>
      </c>
      <c r="M374" s="20" t="s">
        <v>833</v>
      </c>
      <c r="N374" s="20" t="s">
        <v>833</v>
      </c>
      <c r="O374" s="21"/>
      <c r="P374" s="21"/>
      <c r="Q374" s="21"/>
      <c r="R374" s="21"/>
      <c r="S374" s="21"/>
      <c r="T374" s="21"/>
      <c r="U374" s="20" t="s">
        <v>989</v>
      </c>
      <c r="V374" s="22"/>
      <c r="W374" s="23"/>
      <c r="X374" s="24"/>
      <c r="Y374" s="76" t="s">
        <v>39</v>
      </c>
      <c r="Z374" s="76"/>
      <c r="AA374" s="76" t="str">
        <f ca="1">Rcrdngs[[#This Row],[Title]]&amp;"."&amp;#REF!</f>
        <v>Naameh – AD (F.67) – Maslakh Before (4)</v>
      </c>
    </row>
    <row r="375" spans="1:27" ht="15" customHeight="1">
      <c r="A375" s="35" t="s">
        <v>996</v>
      </c>
      <c r="B375" s="27"/>
      <c r="C375" s="45" t="s">
        <v>831</v>
      </c>
      <c r="D375" s="17" t="str" cm="1">
        <f t="array" ref="D375">_xlfn.TEXTJOIN(", ", TRUE(), _xlfn._xlws.FILTER(Speakers_in_Recordings!$B$2:$B$1502,Speakers_in_Recordings!$A$2:$A$1502=Rcrdngs[[#This Row],[Text]],"[no speaker selected in Speakers_in_Recordings]"))</f>
        <v>LEB_NAA_2023_AD_F.67_Speaker1, LEB_KAR_2022_KZ_M.27_Speaker12</v>
      </c>
      <c r="E375" s="17" t="str" cm="1">
        <f t="array" ref="E375">_xlfn.TEXTJOIN(", ", TRUE(), _xlfn._xlws.FILTER(Sbcts_Rcrdngs[Subject],Sbcts_Rcrdngs[Recording]=Rcrdngs[[#This Row],[Text]],"[no subject selected in Subjects_in_Recordings]"))</f>
        <v>Neighborhood</v>
      </c>
      <c r="F375" s="18">
        <v>45063</v>
      </c>
      <c r="G375" s="19" t="s">
        <v>997</v>
      </c>
      <c r="H375" s="49" t="s">
        <v>274</v>
      </c>
      <c r="I375" s="49" t="s">
        <v>32</v>
      </c>
      <c r="J375" s="49"/>
      <c r="K375" s="153"/>
      <c r="L375" s="61" t="s">
        <v>529</v>
      </c>
      <c r="M375" s="20" t="s">
        <v>833</v>
      </c>
      <c r="N375" s="20" t="s">
        <v>833</v>
      </c>
      <c r="O375" s="21"/>
      <c r="P375" s="21"/>
      <c r="Q375" s="21"/>
      <c r="R375" s="21"/>
      <c r="S375" s="21"/>
      <c r="T375" s="21"/>
      <c r="U375" s="20" t="s">
        <v>989</v>
      </c>
      <c r="V375" s="22"/>
      <c r="W375" s="23"/>
      <c r="X375" s="24"/>
      <c r="Y375" s="76" t="s">
        <v>39</v>
      </c>
      <c r="Z375" s="76"/>
      <c r="AA375" s="76" t="str">
        <f ca="1">Rcrdngs[[#This Row],[Title]]&amp;"."&amp;#REF!</f>
        <v>Naameh – AD (F.67) – Maslakh Before (5)</v>
      </c>
    </row>
    <row r="376" spans="1:27" ht="15" customHeight="1">
      <c r="A376" s="35" t="s">
        <v>998</v>
      </c>
      <c r="B376" s="27"/>
      <c r="C376" s="45" t="s">
        <v>831</v>
      </c>
      <c r="D376" s="17" t="str" cm="1">
        <f t="array" ref="D376">_xlfn.TEXTJOIN(", ", TRUE(), _xlfn._xlws.FILTER(Speakers_in_Recordings!$B$2:$B$1502,Speakers_in_Recordings!$A$2:$A$1502=Rcrdngs[[#This Row],[Text]],"[no speaker selected in Speakers_in_Recordings]"))</f>
        <v>LEB_NAA_2023_AD_F.67_Speaker1, LEB_KAR_2022_KZ_M.27_Speaker12</v>
      </c>
      <c r="E376" s="17" t="str" cm="1">
        <f t="array" ref="E376">_xlfn.TEXTJOIN(", ", TRUE(), _xlfn._xlws.FILTER(Sbcts_Rcrdngs[Subject],Sbcts_Rcrdngs[Recording]=Rcrdngs[[#This Row],[Text]],"[no subject selected in Subjects_in_Recordings]"))</f>
        <v>Community identity</v>
      </c>
      <c r="F376" s="18">
        <v>45063</v>
      </c>
      <c r="G376" s="19" t="s">
        <v>999</v>
      </c>
      <c r="H376" s="49" t="s">
        <v>274</v>
      </c>
      <c r="I376" s="49" t="s">
        <v>32</v>
      </c>
      <c r="J376" s="49"/>
      <c r="K376" s="153"/>
      <c r="L376" s="61" t="s">
        <v>529</v>
      </c>
      <c r="M376" s="20" t="s">
        <v>833</v>
      </c>
      <c r="N376" s="20" t="s">
        <v>833</v>
      </c>
      <c r="O376" s="21"/>
      <c r="P376" s="21"/>
      <c r="Q376" s="21"/>
      <c r="R376" s="21"/>
      <c r="S376" s="21"/>
      <c r="T376" s="21"/>
      <c r="U376" s="20" t="s">
        <v>989</v>
      </c>
      <c r="V376" s="22"/>
      <c r="W376" s="23"/>
      <c r="X376" s="24"/>
      <c r="Y376" s="76" t="s">
        <v>39</v>
      </c>
      <c r="Z376" s="76"/>
      <c r="AA376" s="76" t="str">
        <f ca="1">Rcrdngs[[#This Row],[Title]]&amp;"."&amp;#REF!</f>
        <v>Naameh – AD (F.67) – Maslakh Before (6)</v>
      </c>
    </row>
    <row r="377" spans="1:27" ht="15" customHeight="1">
      <c r="A377" s="82" t="s">
        <v>1000</v>
      </c>
      <c r="B377" s="27"/>
      <c r="C377" s="45" t="s">
        <v>831</v>
      </c>
      <c r="D377" s="17" t="str" cm="1">
        <f t="array" ref="D377">_xlfn.TEXTJOIN(", ", TRUE(), _xlfn._xlws.FILTER(Speakers_in_Recordings!$B$2:$B$1502,Speakers_in_Recordings!$A$2:$A$1502=Rcrdngs[[#This Row],[Text]],"[no speaker selected in Speakers_in_Recordings]"))</f>
        <v>LEB_NAA_2023_AD_F.67_Speaker1, LEB_KAR_2022_KZ_M.27_Speaker12</v>
      </c>
      <c r="E377" s="17" t="str" cm="1">
        <f t="array" ref="E377">_xlfn.TEXTJOIN(", ", TRUE(), _xlfn._xlws.FILTER(Sbcts_Rcrdngs[Subject],Sbcts_Rcrdngs[Recording]=Rcrdngs[[#This Row],[Text]],"[no subject selected in Subjects_in_Recordings]"))</f>
        <v>Poverty</v>
      </c>
      <c r="F377" s="18">
        <v>45063</v>
      </c>
      <c r="G377" s="19" t="s">
        <v>1001</v>
      </c>
      <c r="H377" s="49" t="s">
        <v>274</v>
      </c>
      <c r="I377" s="49" t="s">
        <v>32</v>
      </c>
      <c r="J377" s="49"/>
      <c r="K377" s="153"/>
      <c r="L377" s="61" t="s">
        <v>529</v>
      </c>
      <c r="M377" s="20" t="s">
        <v>833</v>
      </c>
      <c r="N377" s="20" t="s">
        <v>833</v>
      </c>
      <c r="O377" s="21"/>
      <c r="P377" s="21"/>
      <c r="Q377" s="21"/>
      <c r="R377" s="21"/>
      <c r="S377" s="21"/>
      <c r="T377" s="21"/>
      <c r="U377" s="20" t="s">
        <v>989</v>
      </c>
      <c r="V377" s="22"/>
      <c r="W377" s="23"/>
      <c r="X377" s="24"/>
      <c r="Y377" s="76" t="s">
        <v>39</v>
      </c>
      <c r="Z377" s="76"/>
      <c r="AA377" s="76" t="str">
        <f ca="1">Rcrdngs[[#This Row],[Title]]&amp;"."&amp;#REF!</f>
        <v>Naameh – AD (F.67) – Maslakh Before (7)</v>
      </c>
    </row>
    <row r="378" spans="1:27" ht="15" customHeight="1">
      <c r="A378" s="35"/>
      <c r="B378" s="27"/>
      <c r="C378" s="20"/>
      <c r="D378" s="17" t="str" cm="1">
        <f t="array" ref="D378">_xlfn.TEXTJOIN(", ", TRUE(), _xlfn._xlws.FILTER(Speakers_in_Recordings!$B$2:$B$1502,Speakers_in_Recordings!$A$2:$A$1502=Rcrdngs[[#This Row],[Text]],"[no speaker selected in Speakers_in_Recordings]"))</f>
        <v/>
      </c>
      <c r="E378" s="17" t="str" cm="1">
        <f t="array" ref="E378">_xlfn.TEXTJOIN(", ", TRUE(), _xlfn._xlws.FILTER(Sbcts_Rcrdngs[Subject],Sbcts_Rcrdngs[Recording]=Rcrdngs[[#This Row],[Text]],"[no subject selected in Subjects_in_Recordings]"))</f>
        <v/>
      </c>
      <c r="F378" s="18"/>
      <c r="G378" s="19"/>
      <c r="H378" s="49"/>
      <c r="I378" s="49"/>
      <c r="J378" s="49"/>
      <c r="K378" s="153"/>
      <c r="L378" s="61"/>
      <c r="M378" s="20"/>
      <c r="N378" s="20"/>
      <c r="O378" s="21"/>
      <c r="P378" s="21"/>
      <c r="Q378" s="21"/>
      <c r="R378" s="21"/>
      <c r="S378" s="21"/>
      <c r="T378" s="21"/>
      <c r="U378" s="20"/>
      <c r="V378" s="22"/>
      <c r="W378" s="23"/>
      <c r="X378" s="181"/>
      <c r="Y378" s="76"/>
      <c r="Z378" s="76"/>
      <c r="AA378" s="162"/>
    </row>
    <row r="379" spans="1:27" ht="15" customHeight="1">
      <c r="A379" s="35" t="s">
        <v>1002</v>
      </c>
      <c r="B379" s="27"/>
      <c r="C379" s="45" t="s">
        <v>831</v>
      </c>
      <c r="D379" s="17" t="str" cm="1">
        <f t="array" ref="D379">_xlfn.TEXTJOIN(", ", TRUE(), _xlfn._xlws.FILTER(Speakers_in_Recordings!$B$2:$B$1502,Speakers_in_Recordings!$A$2:$A$1502=Rcrdngs[[#This Row],[Text]],"[no speaker selected in Speakers_in_Recordings]"))</f>
        <v>LEB_NAA_2023_XX_F.59_Speaker2, LEB_KAR_2022_KZ_M.27_Speaker12</v>
      </c>
      <c r="E379" s="17" t="str" cm="1">
        <f t="array" ref="E379">_xlfn.TEXTJOIN(", ", TRUE(), _xlfn._xlws.FILTER(Sbcts_Rcrdngs[Subject],Sbcts_Rcrdngs[Recording]=Rcrdngs[[#This Row],[Text]],"[no subject selected in Subjects_in_Recordings]"))</f>
        <v>[no subject selected in Subjects_in_Recordings]</v>
      </c>
      <c r="F379" s="18">
        <v>45065</v>
      </c>
      <c r="G379" s="19" t="s">
        <v>1003</v>
      </c>
      <c r="H379" s="49" t="s">
        <v>274</v>
      </c>
      <c r="I379" s="49" t="s">
        <v>32</v>
      </c>
      <c r="J379" s="49"/>
      <c r="K379" s="153"/>
      <c r="L379" s="61" t="s">
        <v>529</v>
      </c>
      <c r="M379" s="20" t="s">
        <v>833</v>
      </c>
      <c r="N379" s="20" t="s">
        <v>833</v>
      </c>
      <c r="O379" s="21"/>
      <c r="P379" s="21"/>
      <c r="Q379" s="21"/>
      <c r="R379" s="21"/>
      <c r="S379" s="21"/>
      <c r="T379" s="21"/>
      <c r="U379" s="20" t="s">
        <v>989</v>
      </c>
      <c r="V379" s="22"/>
      <c r="W379" s="23"/>
      <c r="X379" s="24"/>
      <c r="Y379" s="76" t="s">
        <v>39</v>
      </c>
      <c r="Z379" s="76"/>
      <c r="AA379" s="76" t="str">
        <f ca="1">Rcrdngs[[#This Row],[Title]]&amp;"."&amp;#REF!</f>
        <v>Naameh – XX (F.59) – Intro</v>
      </c>
    </row>
    <row r="380" spans="1:27" ht="15" customHeight="1">
      <c r="A380" s="35" t="s">
        <v>1004</v>
      </c>
      <c r="B380" s="27"/>
      <c r="C380" s="45" t="s">
        <v>831</v>
      </c>
      <c r="D380" s="17" t="str" cm="1">
        <f t="array" ref="D380">_xlfn.TEXTJOIN(", ", TRUE(), _xlfn._xlws.FILTER(Speakers_in_Recordings!$B$2:$B$1502,Speakers_in_Recordings!$A$2:$A$1502=Rcrdngs[[#This Row],[Text]],"[no speaker selected in Speakers_in_Recordings]"))</f>
        <v>LEB_NAA_2023_XX_F.59_Speaker2, LEB_KAR_2022_KZ_M.27_Speaker12</v>
      </c>
      <c r="E380" s="17" t="str" cm="1">
        <f t="array" ref="E380">_xlfn.TEXTJOIN(", ", TRUE(), _xlfn._xlws.FILTER(Sbcts_Rcrdngs[Subject],Sbcts_Rcrdngs[Recording]=Rcrdngs[[#This Row],[Text]],"[no subject selected in Subjects_in_Recordings]"))</f>
        <v>[no subject selected in Subjects_in_Recordings]</v>
      </c>
      <c r="F380" s="18">
        <v>45065</v>
      </c>
      <c r="G380" s="19" t="s">
        <v>339</v>
      </c>
      <c r="H380" s="49" t="s">
        <v>274</v>
      </c>
      <c r="I380" s="49" t="s">
        <v>32</v>
      </c>
      <c r="J380" s="49"/>
      <c r="K380" s="153"/>
      <c r="L380" s="61" t="s">
        <v>529</v>
      </c>
      <c r="M380" s="20" t="s">
        <v>833</v>
      </c>
      <c r="N380" s="20" t="s">
        <v>833</v>
      </c>
      <c r="O380" s="21"/>
      <c r="P380" s="21"/>
      <c r="Q380" s="21"/>
      <c r="R380" s="21"/>
      <c r="S380" s="21"/>
      <c r="T380" s="21"/>
      <c r="U380" s="20" t="s">
        <v>989</v>
      </c>
      <c r="V380" s="22"/>
      <c r="W380" s="23"/>
      <c r="X380" s="24"/>
      <c r="Y380" s="76" t="s">
        <v>39</v>
      </c>
      <c r="Z380" s="76"/>
      <c r="AA380" s="76" t="str">
        <f ca="1">Rcrdngs[[#This Row],[Title]]&amp;"."&amp;#REF!</f>
        <v>Naameh – XX (F.59) – ARMS</v>
      </c>
    </row>
    <row r="381" spans="1:27" ht="15" customHeight="1">
      <c r="A381" s="35"/>
      <c r="B381" s="27"/>
      <c r="C381" s="20"/>
      <c r="D381" s="17" t="str" cm="1">
        <f t="array" ref="D381">_xlfn.TEXTJOIN(", ", TRUE(), _xlfn._xlws.FILTER(Speakers_in_Recordings!$B$2:$B$1502,Speakers_in_Recordings!$A$2:$A$1502=Rcrdngs[[#This Row],[Text]],"[no speaker selected in Speakers_in_Recordings]"))</f>
        <v/>
      </c>
      <c r="E381" s="17" t="str" cm="1">
        <f t="array" ref="E381">_xlfn.TEXTJOIN(", ", TRUE(), _xlfn._xlws.FILTER(Sbcts_Rcrdngs[Subject],Sbcts_Rcrdngs[Recording]=Rcrdngs[[#This Row],[Text]],"[no subject selected in Subjects_in_Recordings]"))</f>
        <v/>
      </c>
      <c r="F381" s="18"/>
      <c r="G381" s="19"/>
      <c r="H381" s="49"/>
      <c r="I381" s="49"/>
      <c r="J381" s="49"/>
      <c r="K381" s="153"/>
      <c r="L381" s="61"/>
      <c r="M381" s="20"/>
      <c r="N381" s="20"/>
      <c r="O381" s="21"/>
      <c r="P381" s="21"/>
      <c r="Q381" s="21"/>
      <c r="R381" s="21"/>
      <c r="S381" s="21"/>
      <c r="T381" s="21"/>
      <c r="U381" s="20"/>
      <c r="V381" s="22"/>
      <c r="W381" s="23"/>
      <c r="X381" s="181"/>
      <c r="Y381" s="76"/>
      <c r="Z381" s="76"/>
      <c r="AA381" s="162"/>
    </row>
    <row r="382" spans="1:27" ht="15" customHeight="1">
      <c r="A382" s="82" t="s">
        <v>1005</v>
      </c>
      <c r="B382" s="27"/>
      <c r="C382" s="45" t="s">
        <v>868</v>
      </c>
      <c r="D382" s="17" t="str" cm="1">
        <f t="array" ref="D382">_xlfn.TEXTJOIN(", ", TRUE(), _xlfn._xlws.FILTER(Speakers_in_Recordings!$B$2:$B$1502,Speakers_in_Recordings!$A$2:$A$1502=Rcrdngs[[#This Row],[Text]],"[no speaker selected in Speakers_in_Recordings]"))</f>
        <v>LEB_KHAL_2022_RD_M.61_Speaker1</v>
      </c>
      <c r="E382" s="17" t="str" cm="1">
        <f t="array" ref="E382">_xlfn.TEXTJOIN(", ", TRUE(), _xlfn._xlws.FILTER(Sbcts_Rcrdngs[Subject],Sbcts_Rcrdngs[Recording]=Rcrdngs[[#This Row],[Text]],"[no subject selected in Subjects_in_Recordings]"))</f>
        <v>Tribal Traditions</v>
      </c>
      <c r="F382" s="18">
        <v>44617</v>
      </c>
      <c r="G382" s="19" t="s">
        <v>514</v>
      </c>
      <c r="H382" s="49" t="s">
        <v>31</v>
      </c>
      <c r="I382" s="49" t="s">
        <v>32</v>
      </c>
      <c r="J382" s="49" t="s">
        <v>32</v>
      </c>
      <c r="K382" s="153" t="s">
        <v>33</v>
      </c>
      <c r="L382" s="61" t="s">
        <v>34</v>
      </c>
      <c r="M382" s="20" t="s">
        <v>833</v>
      </c>
      <c r="N382" s="20" t="s">
        <v>833</v>
      </c>
      <c r="O382" s="21"/>
      <c r="P382" s="21"/>
      <c r="Q382" s="21" t="s">
        <v>833</v>
      </c>
      <c r="R382" s="21"/>
      <c r="S382" s="21"/>
      <c r="T382" s="21"/>
      <c r="U382" s="20" t="s">
        <v>1006</v>
      </c>
      <c r="V382" s="22"/>
      <c r="W382" s="23"/>
      <c r="X382" s="24"/>
      <c r="Y382" s="76" t="s">
        <v>39</v>
      </c>
      <c r="Z382" s="76"/>
      <c r="AA382" s="76" t="str">
        <f ca="1">Rcrdngs[[#This Row],[Title]]&amp;"."&amp;#REF!</f>
        <v>Khalde – RD (M.61) – Preserving Bedouin Traditions</v>
      </c>
    </row>
    <row r="383" spans="1:27" ht="15" customHeight="1">
      <c r="A383" s="35" t="s">
        <v>1007</v>
      </c>
      <c r="B383" s="27"/>
      <c r="C383" s="45" t="s">
        <v>868</v>
      </c>
      <c r="D383" s="17" t="str" cm="1">
        <f t="array" ref="D383">_xlfn.TEXTJOIN(", ", TRUE(), _xlfn._xlws.FILTER(Speakers_in_Recordings!$B$2:$B$1502,Speakers_in_Recordings!$A$2:$A$1502=Rcrdngs[[#This Row],[Text]],"[no speaker selected in Speakers_in_Recordings]"))</f>
        <v>LEB_KHAL_2022_RD_M.61_Speaker1</v>
      </c>
      <c r="E383" s="17" t="str" cm="1">
        <f t="array" ref="E383">_xlfn.TEXTJOIN(", ", TRUE(), _xlfn._xlws.FILTER(Sbcts_Rcrdngs[Subject],Sbcts_Rcrdngs[Recording]=Rcrdngs[[#This Row],[Text]],"[no subject selected in Subjects_in_Recordings]"))</f>
        <v>[no subject selected in Subjects_in_Recordings]</v>
      </c>
      <c r="F383" s="18">
        <v>44617</v>
      </c>
      <c r="G383" s="19" t="s">
        <v>1008</v>
      </c>
      <c r="H383" s="49" t="s">
        <v>274</v>
      </c>
      <c r="I383" s="49" t="s">
        <v>32</v>
      </c>
      <c r="J383" s="19"/>
      <c r="K383" s="153"/>
      <c r="L383" s="61" t="s">
        <v>529</v>
      </c>
      <c r="M383" s="20" t="s">
        <v>833</v>
      </c>
      <c r="N383" s="20"/>
      <c r="O383" s="21"/>
      <c r="P383" s="21"/>
      <c r="Q383" s="21"/>
      <c r="R383" s="21"/>
      <c r="S383" s="21"/>
      <c r="T383" s="21"/>
      <c r="U383" s="20" t="s">
        <v>1006</v>
      </c>
      <c r="V383" s="22"/>
      <c r="W383" s="23"/>
      <c r="X383" s="24"/>
      <c r="Y383" s="76" t="s">
        <v>39</v>
      </c>
      <c r="Z383" s="76"/>
      <c r="AA383" s="76" t="str">
        <f ca="1">Rcrdngs[[#This Row],[Title]]&amp;"."&amp;#REF!</f>
        <v>Khalde – RD (M.61) – Marriage and Conflict Resolution</v>
      </c>
    </row>
    <row r="384" spans="1:27" ht="15" customHeight="1">
      <c r="A384" s="82" t="s">
        <v>1009</v>
      </c>
      <c r="B384" s="27"/>
      <c r="C384" s="45" t="s">
        <v>868</v>
      </c>
      <c r="D384" s="17" t="str" cm="1">
        <f t="array" ref="D384">_xlfn.TEXTJOIN(", ", TRUE(), _xlfn._xlws.FILTER(Speakers_in_Recordings!$B$2:$B$1502,Speakers_in_Recordings!$A$2:$A$1502=Rcrdngs[[#This Row],[Text]],"[no speaker selected in Speakers_in_Recordings]"))</f>
        <v>LEB_KHAL_2022_RD_M.61_Speaker1, AID</v>
      </c>
      <c r="E384" s="17" t="str" cm="1">
        <f t="array" ref="E384">_xlfn.TEXTJOIN(", ", TRUE(), _xlfn._xlws.FILTER(Sbcts_Rcrdngs[Subject],Sbcts_Rcrdngs[Recording]=Rcrdngs[[#This Row],[Text]],"[no subject selected in Subjects_in_Recordings]"))</f>
        <v>Language and identity</v>
      </c>
      <c r="F384" s="18">
        <v>44617</v>
      </c>
      <c r="G384" s="19" t="s">
        <v>448</v>
      </c>
      <c r="H384" s="49" t="s">
        <v>31</v>
      </c>
      <c r="I384" s="49" t="s">
        <v>32</v>
      </c>
      <c r="J384" s="49" t="s">
        <v>32</v>
      </c>
      <c r="K384" s="153" t="s">
        <v>33</v>
      </c>
      <c r="L384" s="61" t="s">
        <v>34</v>
      </c>
      <c r="M384" s="20" t="s">
        <v>833</v>
      </c>
      <c r="N384" s="20" t="s">
        <v>833</v>
      </c>
      <c r="O384" s="21"/>
      <c r="P384" s="21"/>
      <c r="Q384" s="21" t="s">
        <v>833</v>
      </c>
      <c r="R384" s="21"/>
      <c r="S384" s="21"/>
      <c r="T384" s="21"/>
      <c r="U384" s="20" t="s">
        <v>1006</v>
      </c>
      <c r="V384" s="22"/>
      <c r="W384" s="23"/>
      <c r="X384" s="24"/>
      <c r="Y384" s="76" t="s">
        <v>39</v>
      </c>
      <c r="Z384" s="76"/>
      <c r="AA384" s="76" t="str">
        <f ca="1">Rcrdngs[[#This Row],[Title]]&amp;"."&amp;#REF!</f>
        <v>Khalde – RD (M.61) – Dialect and Authenticity</v>
      </c>
    </row>
    <row r="385" spans="1:27" ht="15" customHeight="1">
      <c r="A385" s="35" t="s">
        <v>1010</v>
      </c>
      <c r="B385" s="27"/>
      <c r="C385" s="45" t="s">
        <v>868</v>
      </c>
      <c r="D385" s="17" t="str" cm="1">
        <f t="array" ref="D385">_xlfn.TEXTJOIN(", ", TRUE(), _xlfn._xlws.FILTER(Speakers_in_Recordings!$B$2:$B$1502,Speakers_in_Recordings!$A$2:$A$1502=Rcrdngs[[#This Row],[Text]],"[no speaker selected in Speakers_in_Recordings]"))</f>
        <v>LEB_KHAL_2022_RD_M.61_Speaker1</v>
      </c>
      <c r="E385" s="17" t="str" cm="1">
        <f t="array" ref="E385">_xlfn.TEXTJOIN(", ", TRUE(), _xlfn._xlws.FILTER(Sbcts_Rcrdngs[Subject],Sbcts_Rcrdngs[Recording]=Rcrdngs[[#This Row],[Text]],"[no subject selected in Subjects_in_Recordings]"))</f>
        <v>[no subject selected in Subjects_in_Recordings]</v>
      </c>
      <c r="F385" s="18">
        <v>44617</v>
      </c>
      <c r="G385" s="19" t="s">
        <v>1011</v>
      </c>
      <c r="H385" s="19" t="s">
        <v>274</v>
      </c>
      <c r="I385" s="49" t="s">
        <v>32</v>
      </c>
      <c r="J385" s="19"/>
      <c r="K385" s="153"/>
      <c r="L385" s="61" t="s">
        <v>529</v>
      </c>
      <c r="M385" s="20" t="s">
        <v>833</v>
      </c>
      <c r="N385" s="20"/>
      <c r="O385" s="21"/>
      <c r="P385" s="21"/>
      <c r="Q385" s="21"/>
      <c r="R385" s="21"/>
      <c r="S385" s="21"/>
      <c r="T385" s="21"/>
      <c r="U385" s="20" t="s">
        <v>1006</v>
      </c>
      <c r="V385" s="22"/>
      <c r="W385" s="23"/>
      <c r="X385" s="24"/>
      <c r="Y385" s="76" t="s">
        <v>39</v>
      </c>
      <c r="Z385" s="76"/>
      <c r="AA385" s="76" t="str">
        <f ca="1">Rcrdngs[[#This Row],[Title]]&amp;"."&amp;#REF!</f>
        <v>Khalde – RD (M.61) – Karm w Qarn</v>
      </c>
    </row>
    <row r="386" spans="1:27" ht="15" customHeight="1">
      <c r="A386" s="82" t="s">
        <v>1012</v>
      </c>
      <c r="B386" s="27"/>
      <c r="C386" s="45" t="s">
        <v>868</v>
      </c>
      <c r="D386" s="17" t="str" cm="1">
        <f t="array" ref="D386">_xlfn.TEXTJOIN(", ", TRUE(), _xlfn._xlws.FILTER(Speakers_in_Recordings!$B$2:$B$1502,Speakers_in_Recordings!$A$2:$A$1502=Rcrdngs[[#This Row],[Text]],"[no speaker selected in Speakers_in_Recordings]"))</f>
        <v>LEB_KHAL_2022_RD_M.61_Speaker1</v>
      </c>
      <c r="E386" s="17" t="str" cm="1">
        <f t="array" ref="E386">_xlfn.TEXTJOIN(", ", TRUE(), _xlfn._xlws.FILTER(Sbcts_Rcrdngs[Subject],Sbcts_Rcrdngs[Recording]=Rcrdngs[[#This Row],[Text]],"[no subject selected in Subjects_in_Recordings]"))</f>
        <v>Oral literature - Poetry</v>
      </c>
      <c r="F386" s="18">
        <v>44617</v>
      </c>
      <c r="G386" s="19" t="s">
        <v>925</v>
      </c>
      <c r="H386" s="49" t="s">
        <v>31</v>
      </c>
      <c r="I386" s="49" t="s">
        <v>32</v>
      </c>
      <c r="J386" s="49" t="s">
        <v>32</v>
      </c>
      <c r="K386" s="153" t="s">
        <v>33</v>
      </c>
      <c r="L386" s="61" t="s">
        <v>34</v>
      </c>
      <c r="M386" s="20" t="s">
        <v>833</v>
      </c>
      <c r="N386" s="20" t="s">
        <v>833</v>
      </c>
      <c r="O386" s="21"/>
      <c r="P386" s="21"/>
      <c r="Q386" s="21" t="s">
        <v>833</v>
      </c>
      <c r="R386" s="21"/>
      <c r="S386" s="21"/>
      <c r="T386" s="21"/>
      <c r="U386" s="20" t="s">
        <v>1006</v>
      </c>
      <c r="V386" s="22"/>
      <c r="W386" s="23"/>
      <c r="X386" s="24"/>
      <c r="Y386" s="76" t="s">
        <v>39</v>
      </c>
      <c r="Z386" s="76"/>
      <c r="AA386" s="76" t="str">
        <f ca="1">Rcrdngs[[#This Row],[Title]]&amp;"."&amp;#REF!</f>
        <v>Khalde – RD (M.61) – Arab Lubnan; Identity; Semi-nomadism</v>
      </c>
    </row>
    <row r="387" spans="1:27" ht="15" customHeight="1">
      <c r="A387" s="82" t="s">
        <v>1013</v>
      </c>
      <c r="B387" s="27"/>
      <c r="C387" s="45" t="s">
        <v>868</v>
      </c>
      <c r="D387" s="17" t="str" cm="1">
        <f t="array" ref="D387">_xlfn.TEXTJOIN(", ", TRUE(), _xlfn._xlws.FILTER(Speakers_in_Recordings!$B$2:$B$1502,Speakers_in_Recordings!$A$2:$A$1502=Rcrdngs[[#This Row],[Text]],"[no speaker selected in Speakers_in_Recordings]"))</f>
        <v>LEB_KHAL_2022_RD_M.61_Speaker1</v>
      </c>
      <c r="E387" s="17" t="str" cm="1">
        <f t="array" ref="E387">_xlfn.TEXTJOIN(", ", TRUE(), _xlfn._xlws.FILTER(Sbcts_Rcrdngs[Subject],Sbcts_Rcrdngs[Recording]=Rcrdngs[[#This Row],[Text]],"[no subject selected in Subjects_in_Recordings]"))</f>
        <v>Community identity</v>
      </c>
      <c r="F387" s="18">
        <v>44617</v>
      </c>
      <c r="G387" s="19" t="s">
        <v>576</v>
      </c>
      <c r="H387" s="49" t="s">
        <v>31</v>
      </c>
      <c r="I387" s="49" t="s">
        <v>32</v>
      </c>
      <c r="J387" s="49" t="s">
        <v>32</v>
      </c>
      <c r="K387" s="153" t="s">
        <v>33</v>
      </c>
      <c r="L387" s="61" t="s">
        <v>34</v>
      </c>
      <c r="M387" s="20" t="s">
        <v>833</v>
      </c>
      <c r="N387" s="20" t="s">
        <v>833</v>
      </c>
      <c r="O387" s="21"/>
      <c r="P387" s="21"/>
      <c r="Q387" s="21" t="s">
        <v>833</v>
      </c>
      <c r="R387" s="21"/>
      <c r="S387" s="21"/>
      <c r="T387" s="21"/>
      <c r="U387" s="20" t="s">
        <v>1006</v>
      </c>
      <c r="V387" s="22"/>
      <c r="W387" s="23"/>
      <c r="X387" s="24"/>
      <c r="Y387" s="76" t="s">
        <v>39</v>
      </c>
      <c r="Z387" s="76"/>
      <c r="AA387" s="76" t="str">
        <f ca="1">Rcrdngs[[#This Row],[Title]]&amp;"."&amp;#REF!</f>
        <v>Khalde – RD (M.61) – Customs; Tribes; Oral Literature</v>
      </c>
    </row>
    <row r="388" spans="1:27" ht="15" customHeight="1">
      <c r="A388" s="35" t="s">
        <v>1014</v>
      </c>
      <c r="B388" s="27"/>
      <c r="C388" s="45" t="s">
        <v>868</v>
      </c>
      <c r="D388" s="17" t="str" cm="1">
        <f t="array" ref="D388">_xlfn.TEXTJOIN(", ", TRUE(), _xlfn._xlws.FILTER(Speakers_in_Recordings!$B$2:$B$1502,Speakers_in_Recordings!$A$2:$A$1502=Rcrdngs[[#This Row],[Text]],"[no speaker selected in Speakers_in_Recordings]"))</f>
        <v>LEB_KHAL_2022_RD_M.61_Speaker1</v>
      </c>
      <c r="E388" s="17" t="str" cm="1">
        <f t="array" ref="E388">_xlfn.TEXTJOIN(", ", TRUE(), _xlfn._xlws.FILTER(Sbcts_Rcrdngs[Subject],Sbcts_Rcrdngs[Recording]=Rcrdngs[[#This Row],[Text]],"[no subject selected in Subjects_in_Recordings]"))</f>
        <v>[no subject selected in Subjects_in_Recordings]</v>
      </c>
      <c r="F388" s="18">
        <v>44617</v>
      </c>
      <c r="G388" s="19" t="s">
        <v>1015</v>
      </c>
      <c r="H388" s="19" t="s">
        <v>274</v>
      </c>
      <c r="I388" s="49" t="s">
        <v>32</v>
      </c>
      <c r="J388" s="19"/>
      <c r="K388" s="153"/>
      <c r="L388" s="61" t="s">
        <v>529</v>
      </c>
      <c r="M388" s="20" t="s">
        <v>833</v>
      </c>
      <c r="N388" s="20"/>
      <c r="O388" s="21"/>
      <c r="P388" s="21"/>
      <c r="Q388" s="21"/>
      <c r="R388" s="21"/>
      <c r="S388" s="21"/>
      <c r="T388" s="21"/>
      <c r="U388" s="20" t="s">
        <v>1006</v>
      </c>
      <c r="V388" s="22"/>
      <c r="W388" s="23"/>
      <c r="X388" s="24"/>
      <c r="Y388" s="76" t="s">
        <v>39</v>
      </c>
      <c r="Z388" s="76"/>
      <c r="AA388" s="76" t="str">
        <f ca="1">Rcrdngs[[#This Row],[Title]]&amp;"."&amp;#REF!</f>
        <v>Khalde – RD (M.61) – Our Poems</v>
      </c>
    </row>
    <row r="389" spans="1:27" ht="15" customHeight="1">
      <c r="A389" s="82" t="s">
        <v>1016</v>
      </c>
      <c r="B389" s="27"/>
      <c r="C389" s="45" t="s">
        <v>868</v>
      </c>
      <c r="D389" s="17" t="str" cm="1">
        <f t="array" ref="D389">_xlfn.TEXTJOIN(", ", TRUE(), _xlfn._xlws.FILTER(Speakers_in_Recordings!$B$2:$B$1502,Speakers_in_Recordings!$A$2:$A$1502=Rcrdngs[[#This Row],[Text]],"[no speaker selected in Speakers_in_Recordings]"))</f>
        <v>LEB_KHAL_2022_RD_M.61_Speaker1, AID</v>
      </c>
      <c r="E389" s="17" t="str" cm="1">
        <f t="array" ref="E389">_xlfn.TEXTJOIN(", ", TRUE(), _xlfn._xlws.FILTER(Sbcts_Rcrdngs[Subject],Sbcts_Rcrdngs[Recording]=Rcrdngs[[#This Row],[Text]],"[no subject selected in Subjects_in_Recordings]"))</f>
        <v>Language and identity</v>
      </c>
      <c r="F389" s="18">
        <v>44617</v>
      </c>
      <c r="G389" s="19" t="s">
        <v>478</v>
      </c>
      <c r="H389" s="49" t="s">
        <v>31</v>
      </c>
      <c r="I389" s="49" t="s">
        <v>32</v>
      </c>
      <c r="J389" s="49" t="s">
        <v>32</v>
      </c>
      <c r="K389" s="153" t="s">
        <v>33</v>
      </c>
      <c r="L389" s="61" t="s">
        <v>34</v>
      </c>
      <c r="M389" s="20" t="s">
        <v>833</v>
      </c>
      <c r="N389" s="20" t="s">
        <v>833</v>
      </c>
      <c r="O389" s="21"/>
      <c r="P389" s="21"/>
      <c r="Q389" s="21" t="s">
        <v>833</v>
      </c>
      <c r="R389" s="21"/>
      <c r="S389" s="21"/>
      <c r="T389" s="21"/>
      <c r="U389" s="20" t="s">
        <v>1006</v>
      </c>
      <c r="V389" s="22"/>
      <c r="W389" s="23"/>
      <c r="X389" s="24"/>
      <c r="Y389" s="76" t="s">
        <v>39</v>
      </c>
      <c r="Z389" s="76"/>
      <c r="AA389" s="76" t="str">
        <f ca="1">Rcrdngs[[#This Row],[Title]]&amp;"."&amp;#REF!</f>
        <v>Khalde – RD (M.61) – Khashm; Purity of Bedouin Arabic</v>
      </c>
    </row>
    <row r="390" spans="1:27" ht="15" customHeight="1">
      <c r="A390" s="35" t="s">
        <v>1017</v>
      </c>
      <c r="B390" s="27"/>
      <c r="C390" s="45" t="s">
        <v>868</v>
      </c>
      <c r="D390" s="17" t="str" cm="1">
        <f t="array" ref="D390">_xlfn.TEXTJOIN(", ", TRUE(), _xlfn._xlws.FILTER(Speakers_in_Recordings!$B$2:$B$1502,Speakers_in_Recordings!$A$2:$A$1502=Rcrdngs[[#This Row],[Text]],"[no speaker selected in Speakers_in_Recordings]"))</f>
        <v>LEB_KHAL_2022_RD_M.61_Speaker1</v>
      </c>
      <c r="E390" s="17" t="str" cm="1">
        <f t="array" ref="E390">_xlfn.TEXTJOIN(", ", TRUE(), _xlfn._xlws.FILTER(Sbcts_Rcrdngs[Subject],Sbcts_Rcrdngs[Recording]=Rcrdngs[[#This Row],[Text]],"[no subject selected in Subjects_in_Recordings]"))</f>
        <v>[no subject selected in Subjects_in_Recordings]</v>
      </c>
      <c r="F390" s="18">
        <v>44617</v>
      </c>
      <c r="G390" s="19" t="s">
        <v>1018</v>
      </c>
      <c r="H390" s="19" t="s">
        <v>274</v>
      </c>
      <c r="I390" s="49" t="s">
        <v>32</v>
      </c>
      <c r="J390" s="19"/>
      <c r="K390" s="153"/>
      <c r="L390" s="61" t="s">
        <v>529</v>
      </c>
      <c r="M390" s="20" t="s">
        <v>833</v>
      </c>
      <c r="N390" s="20"/>
      <c r="O390" s="21"/>
      <c r="P390" s="21"/>
      <c r="Q390" s="21"/>
      <c r="R390" s="21"/>
      <c r="S390" s="21"/>
      <c r="T390" s="21"/>
      <c r="U390" s="20" t="s">
        <v>1006</v>
      </c>
      <c r="V390" s="22"/>
      <c r="W390" s="23"/>
      <c r="X390" s="24"/>
      <c r="Y390" s="76" t="s">
        <v>39</v>
      </c>
      <c r="Z390" s="76"/>
      <c r="AA390" s="76" t="str">
        <f ca="1">Rcrdngs[[#This Row],[Title]]&amp;"."&amp;#REF!</f>
        <v>Khalde – RD (M.61) – History of Arabs</v>
      </c>
    </row>
    <row r="391" spans="1:27" ht="15" customHeight="1">
      <c r="A391" s="82" t="s">
        <v>1019</v>
      </c>
      <c r="B391" s="27"/>
      <c r="C391" s="45" t="s">
        <v>868</v>
      </c>
      <c r="D391" s="17" t="str" cm="1">
        <f t="array" ref="D391">_xlfn.TEXTJOIN(", ", TRUE(), _xlfn._xlws.FILTER(Speakers_in_Recordings!$B$2:$B$1502,Speakers_in_Recordings!$A$2:$A$1502=Rcrdngs[[#This Row],[Text]],"[no speaker selected in Speakers_in_Recordings]"))</f>
        <v>LEB_KHAL_2022_RD_M.61_Speaker1</v>
      </c>
      <c r="E391" s="17" t="str" cm="1">
        <f t="array" ref="E391">_xlfn.TEXTJOIN(", ", TRUE(), _xlfn._xlws.FILTER(Sbcts_Rcrdngs[Subject],Sbcts_Rcrdngs[Recording]=Rcrdngs[[#This Row],[Text]],"[no subject selected in Subjects_in_Recordings]"))</f>
        <v>Stories, jokes and tales</v>
      </c>
      <c r="F391" s="18">
        <v>44617</v>
      </c>
      <c r="G391" s="19" t="s">
        <v>1020</v>
      </c>
      <c r="H391" s="49" t="s">
        <v>31</v>
      </c>
      <c r="I391" s="49" t="s">
        <v>32</v>
      </c>
      <c r="J391" s="49" t="s">
        <v>32</v>
      </c>
      <c r="K391" s="153" t="s">
        <v>33</v>
      </c>
      <c r="L391" s="61" t="s">
        <v>34</v>
      </c>
      <c r="M391" s="20" t="s">
        <v>833</v>
      </c>
      <c r="N391" s="20" t="s">
        <v>833</v>
      </c>
      <c r="O391" s="21"/>
      <c r="P391" s="21"/>
      <c r="Q391" s="21" t="s">
        <v>833</v>
      </c>
      <c r="R391" s="21"/>
      <c r="S391" s="21"/>
      <c r="T391" s="21"/>
      <c r="U391" s="20" t="s">
        <v>1006</v>
      </c>
      <c r="V391" s="22"/>
      <c r="W391" s="23"/>
      <c r="X391" s="24"/>
      <c r="Y391" s="76" t="s">
        <v>39</v>
      </c>
      <c r="Z391" s="76"/>
      <c r="AA391" s="76" t="str">
        <f ca="1">Rcrdngs[[#This Row],[Title]]&amp;"."&amp;#REF!</f>
        <v>Khalde – RD (M.61) – Mixing of Arabs; Story of Cousin</v>
      </c>
    </row>
    <row r="392" spans="1:27" ht="15" customHeight="1">
      <c r="A392" s="35" t="s">
        <v>1021</v>
      </c>
      <c r="B392" s="27"/>
      <c r="C392" s="45" t="s">
        <v>868</v>
      </c>
      <c r="D392" s="17" t="str" cm="1">
        <f t="array" ref="D392">_xlfn.TEXTJOIN(", ", TRUE(), _xlfn._xlws.FILTER(Speakers_in_Recordings!$B$2:$B$1502,Speakers_in_Recordings!$A$2:$A$1502=Rcrdngs[[#This Row],[Text]],"[no speaker selected in Speakers_in_Recordings]"))</f>
        <v>LEB_KHAL_2022_RD_M.61_Speaker1</v>
      </c>
      <c r="E392" s="17" t="str" cm="1">
        <f t="array" ref="E392">_xlfn.TEXTJOIN(", ", TRUE(), _xlfn._xlws.FILTER(Sbcts_Rcrdngs[Subject],Sbcts_Rcrdngs[Recording]=Rcrdngs[[#This Row],[Text]],"[no subject selected in Subjects_in_Recordings]"))</f>
        <v>[no subject selected in Subjects_in_Recordings]</v>
      </c>
      <c r="F392" s="18">
        <v>44617</v>
      </c>
      <c r="G392" s="19" t="s">
        <v>1022</v>
      </c>
      <c r="H392" s="19" t="s">
        <v>274</v>
      </c>
      <c r="I392" s="49" t="s">
        <v>32</v>
      </c>
      <c r="J392" s="49"/>
      <c r="K392" s="153"/>
      <c r="L392" s="61" t="s">
        <v>529</v>
      </c>
      <c r="M392" s="20" t="s">
        <v>833</v>
      </c>
      <c r="N392" s="20"/>
      <c r="O392" s="21"/>
      <c r="P392" s="21"/>
      <c r="Q392" s="21"/>
      <c r="R392" s="21"/>
      <c r="S392" s="21"/>
      <c r="T392" s="21"/>
      <c r="U392" s="20" t="s">
        <v>1006</v>
      </c>
      <c r="V392" s="22"/>
      <c r="W392" s="23"/>
      <c r="X392" s="24"/>
      <c r="Y392" s="76" t="s">
        <v>39</v>
      </c>
      <c r="Z392" s="76"/>
      <c r="AA392" s="76" t="str">
        <f ca="1">Rcrdngs[[#This Row],[Title]]&amp;"."&amp;#REF!</f>
        <v>Khalde – RD (M.61) – Claudia Ghazal</v>
      </c>
    </row>
    <row r="393" spans="1:27" ht="15" customHeight="1">
      <c r="A393" s="35" t="s">
        <v>1023</v>
      </c>
      <c r="B393" s="27"/>
      <c r="C393" s="45" t="s">
        <v>868</v>
      </c>
      <c r="D393" s="17" t="str" cm="1">
        <f t="array" ref="D393">_xlfn.TEXTJOIN(", ", TRUE(), _xlfn._xlws.FILTER(Speakers_in_Recordings!$B$2:$B$1502,Speakers_in_Recordings!$A$2:$A$1502=Rcrdngs[[#This Row],[Text]],"[no speaker selected in Speakers_in_Recordings]"))</f>
        <v>LEB_KHAL_2022_RD_M.61_Speaker1, LEB_KHAL_2022_XY_M.33_Speaker3</v>
      </c>
      <c r="E393" s="17" t="str" cm="1">
        <f t="array" ref="E393">_xlfn.TEXTJOIN(", ", TRUE(), _xlfn._xlws.FILTER(Sbcts_Rcrdngs[Subject],Sbcts_Rcrdngs[Recording]=Rcrdngs[[#This Row],[Text]],"[no subject selected in Subjects_in_Recordings]"))</f>
        <v>[no subject selected in Subjects_in_Recordings]</v>
      </c>
      <c r="F393" s="18">
        <v>44617</v>
      </c>
      <c r="G393" s="19" t="s">
        <v>1024</v>
      </c>
      <c r="H393" s="19" t="s">
        <v>274</v>
      </c>
      <c r="I393" s="49" t="s">
        <v>32</v>
      </c>
      <c r="J393" s="19"/>
      <c r="K393" s="153"/>
      <c r="L393" s="61" t="s">
        <v>529</v>
      </c>
      <c r="M393" s="20" t="s">
        <v>833</v>
      </c>
      <c r="N393" s="20"/>
      <c r="O393" s="21"/>
      <c r="P393" s="21"/>
      <c r="Q393" s="21"/>
      <c r="R393" s="21"/>
      <c r="S393" s="21"/>
      <c r="T393" s="21"/>
      <c r="U393" s="20" t="s">
        <v>1006</v>
      </c>
      <c r="V393" s="22"/>
      <c r="W393" s="23"/>
      <c r="X393" s="24"/>
      <c r="Y393" s="76" t="s">
        <v>39</v>
      </c>
      <c r="Z393" s="76"/>
      <c r="AA393" s="76" t="str">
        <f ca="1">Rcrdngs[[#This Row],[Title]]&amp;"."&amp;#REF!</f>
        <v>Khalde – RD (M.61) – Ideologies of QAF; Arabic Grammar; Qur’an</v>
      </c>
    </row>
    <row r="394" spans="1:27" ht="15" customHeight="1">
      <c r="A394" s="35"/>
      <c r="B394" s="27"/>
      <c r="C394" s="20"/>
      <c r="D394" s="17" t="str" cm="1">
        <f t="array" ref="D394">_xlfn.TEXTJOIN(", ", TRUE(), _xlfn._xlws.FILTER(Speakers_in_Recordings!$B$2:$B$1502,Speakers_in_Recordings!$A$2:$A$1502=Rcrdngs[[#This Row],[Text]],"[no speaker selected in Speakers_in_Recordings]"))</f>
        <v/>
      </c>
      <c r="E394" s="17" t="str" cm="1">
        <f t="array" ref="E394">_xlfn.TEXTJOIN(", ", TRUE(), _xlfn._xlws.FILTER(Sbcts_Rcrdngs[Subject],Sbcts_Rcrdngs[Recording]=Rcrdngs[[#This Row],[Text]],"[no subject selected in Subjects_in_Recordings]"))</f>
        <v/>
      </c>
      <c r="F394" s="18"/>
      <c r="G394" s="19"/>
      <c r="H394" s="19"/>
      <c r="I394" s="19"/>
      <c r="J394" s="19"/>
      <c r="K394" s="153"/>
      <c r="L394" s="61"/>
      <c r="M394" s="20"/>
      <c r="N394" s="20"/>
      <c r="O394" s="21"/>
      <c r="P394" s="21"/>
      <c r="Q394" s="21"/>
      <c r="R394" s="21"/>
      <c r="S394" s="21"/>
      <c r="T394" s="21"/>
      <c r="U394" s="20"/>
      <c r="V394" s="22"/>
      <c r="W394" s="23"/>
      <c r="X394" s="181"/>
      <c r="Y394" s="76"/>
      <c r="Z394" s="76"/>
      <c r="AA394" s="76"/>
    </row>
    <row r="395" spans="1:27" ht="15" customHeight="1">
      <c r="A395" s="97" t="s">
        <v>1025</v>
      </c>
      <c r="B395" s="27"/>
      <c r="C395" s="45" t="s">
        <v>868</v>
      </c>
      <c r="D395" s="17" t="str" cm="1">
        <f t="array" ref="D395">_xlfn.TEXTJOIN(", ", TRUE(), _xlfn._xlws.FILTER(Speakers_in_Recordings!$B$2:$B$1502,Speakers_in_Recordings!$A$2:$A$1502=Rcrdngs[[#This Row],[Text]],"[no speaker selected in Speakers_in_Recordings]"))</f>
        <v>LEB_KHAL_2022_HD_M.31_Speaker2, AID</v>
      </c>
      <c r="E395" s="17" t="str" cm="1">
        <f t="array" ref="E395">_xlfn.TEXTJOIN(", ", TRUE(), _xlfn._xlws.FILTER(Sbcts_Rcrdngs[Subject],Sbcts_Rcrdngs[Recording]=Rcrdngs[[#This Row],[Text]],"[no subject selected in Subjects_in_Recordings]"))</f>
        <v>Questionnaire</v>
      </c>
      <c r="F395" s="18">
        <v>44619</v>
      </c>
      <c r="G395" s="19" t="s">
        <v>1026</v>
      </c>
      <c r="H395" s="49" t="s">
        <v>274</v>
      </c>
      <c r="I395" s="49" t="s">
        <v>32</v>
      </c>
      <c r="J395" s="49" t="s">
        <v>32</v>
      </c>
      <c r="K395" s="153"/>
      <c r="L395" s="61" t="s">
        <v>529</v>
      </c>
      <c r="M395" s="20" t="s">
        <v>833</v>
      </c>
      <c r="N395" s="20" t="s">
        <v>833</v>
      </c>
      <c r="O395" s="21"/>
      <c r="P395" s="21"/>
      <c r="Q395" s="21"/>
      <c r="R395" s="21"/>
      <c r="S395" s="21"/>
      <c r="T395" s="21"/>
      <c r="U395" s="20" t="s">
        <v>1006</v>
      </c>
      <c r="V395" s="22"/>
      <c r="W395" s="23"/>
      <c r="X395" s="24"/>
      <c r="Y395" s="76" t="s">
        <v>173</v>
      </c>
      <c r="Z395" s="76"/>
      <c r="AA395" s="76" t="str">
        <f ca="1">Rcrdngs[[#This Row],[Title]]&amp;"."&amp;#REF!</f>
        <v>Khalde – HD (M.31) – Questionnaire: Grammar (Part 1)</v>
      </c>
    </row>
    <row r="396" spans="1:27" ht="15" customHeight="1">
      <c r="A396" s="97" t="s">
        <v>1027</v>
      </c>
      <c r="B396" s="27"/>
      <c r="C396" s="45" t="s">
        <v>868</v>
      </c>
      <c r="D396" s="17" t="str" cm="1">
        <f t="array" ref="D396">_xlfn.TEXTJOIN(", ", TRUE(), _xlfn._xlws.FILTER(Speakers_in_Recordings!$B$2:$B$1502,Speakers_in_Recordings!$A$2:$A$1502=Rcrdngs[[#This Row],[Text]],"[no speaker selected in Speakers_in_Recordings]"))</f>
        <v>LEB_KHAL_2022_HD_M.31_Speaker2, AID</v>
      </c>
      <c r="E396" s="17" t="str" cm="1">
        <f t="array" ref="E396">_xlfn.TEXTJOIN(", ", TRUE(), _xlfn._xlws.FILTER(Sbcts_Rcrdngs[Subject],Sbcts_Rcrdngs[Recording]=Rcrdngs[[#This Row],[Text]],"[no subject selected in Subjects_in_Recordings]"))</f>
        <v>Questionnaire</v>
      </c>
      <c r="F396" s="18">
        <v>44619</v>
      </c>
      <c r="G396" s="19" t="s">
        <v>1028</v>
      </c>
      <c r="H396" s="49" t="s">
        <v>31</v>
      </c>
      <c r="I396" s="49" t="s">
        <v>32</v>
      </c>
      <c r="J396" s="49" t="s">
        <v>32</v>
      </c>
      <c r="K396" s="153"/>
      <c r="L396" s="61" t="s">
        <v>34</v>
      </c>
      <c r="M396" s="20" t="s">
        <v>833</v>
      </c>
      <c r="N396" s="20" t="s">
        <v>833</v>
      </c>
      <c r="O396" s="21"/>
      <c r="P396" s="21"/>
      <c r="Q396" s="21"/>
      <c r="R396" s="21"/>
      <c r="S396" s="21"/>
      <c r="T396" s="21"/>
      <c r="U396" s="20" t="s">
        <v>1006</v>
      </c>
      <c r="V396" s="22"/>
      <c r="W396" s="23"/>
      <c r="X396" s="24"/>
      <c r="Y396" s="76" t="s">
        <v>173</v>
      </c>
      <c r="Z396" s="76"/>
      <c r="AA396" s="76" t="str">
        <f ca="1">Rcrdngs[[#This Row],[Title]]&amp;"."&amp;#REF!</f>
        <v>Khalde – HD (M.31) – Questionnaire: Grammar (Part 2)</v>
      </c>
    </row>
    <row r="397" spans="1:27" ht="15" customHeight="1">
      <c r="A397" s="97" t="s">
        <v>1029</v>
      </c>
      <c r="B397" s="27"/>
      <c r="C397" s="45" t="s">
        <v>868</v>
      </c>
      <c r="D397" s="17" t="str" cm="1">
        <f t="array" ref="D397">_xlfn.TEXTJOIN(", ", TRUE(), _xlfn._xlws.FILTER(Speakers_in_Recordings!$B$2:$B$1502,Speakers_in_Recordings!$A$2:$A$1502=Rcrdngs[[#This Row],[Text]],"[no speaker selected in Speakers_in_Recordings]"))</f>
        <v>LEB_KHAL_2022_HD_M.31_Speaker2, AID</v>
      </c>
      <c r="E397" s="17" t="str" cm="1">
        <f t="array" ref="E397">_xlfn.TEXTJOIN(", ", TRUE(), _xlfn._xlws.FILTER(Sbcts_Rcrdngs[Subject],Sbcts_Rcrdngs[Recording]=Rcrdngs[[#This Row],[Text]],"[no subject selected in Subjects_in_Recordings]"))</f>
        <v>Questionnaire</v>
      </c>
      <c r="F397" s="18">
        <v>44619</v>
      </c>
      <c r="G397" s="19" t="s">
        <v>873</v>
      </c>
      <c r="H397" s="49" t="s">
        <v>31</v>
      </c>
      <c r="I397" s="49" t="s">
        <v>32</v>
      </c>
      <c r="J397" s="49" t="s">
        <v>32</v>
      </c>
      <c r="K397" s="153"/>
      <c r="L397" s="61" t="s">
        <v>34</v>
      </c>
      <c r="M397" s="20" t="s">
        <v>833</v>
      </c>
      <c r="N397" s="20" t="s">
        <v>833</v>
      </c>
      <c r="O397" s="21"/>
      <c r="P397" s="21"/>
      <c r="Q397" s="21"/>
      <c r="R397" s="21"/>
      <c r="S397" s="21"/>
      <c r="T397" s="21"/>
      <c r="U397" s="20" t="s">
        <v>1006</v>
      </c>
      <c r="V397" s="22"/>
      <c r="W397" s="23"/>
      <c r="X397" s="24"/>
      <c r="Y397" s="76" t="s">
        <v>173</v>
      </c>
      <c r="Z397" s="76"/>
      <c r="AA397" s="76" t="str">
        <f ca="1">Rcrdngs[[#This Row],[Title]]&amp;"."&amp;#REF!</f>
        <v>Khalde – HD (M.31) – Questionnaire: Grammar (Part 3) – akal paradigms; IPFV 3PLM discussion</v>
      </c>
    </row>
    <row r="398" spans="1:27" ht="15" customHeight="1">
      <c r="A398" s="97" t="s">
        <v>1030</v>
      </c>
      <c r="B398" s="27"/>
      <c r="C398" s="45" t="s">
        <v>868</v>
      </c>
      <c r="D398" s="17" t="str" cm="1">
        <f t="array" ref="D398">_xlfn.TEXTJOIN(", ", TRUE(), _xlfn._xlws.FILTER(Speakers_in_Recordings!$B$2:$B$1502,Speakers_in_Recordings!$A$2:$A$1502=Rcrdngs[[#This Row],[Text]],"[no speaker selected in Speakers_in_Recordings]"))</f>
        <v>LEB_KHAL_2022_HD_M.31_Speaker2, AID</v>
      </c>
      <c r="E398" s="17" t="str" cm="1">
        <f t="array" ref="E398">_xlfn.TEXTJOIN(", ", TRUE(), _xlfn._xlws.FILTER(Sbcts_Rcrdngs[Subject],Sbcts_Rcrdngs[Recording]=Rcrdngs[[#This Row],[Text]],"[no subject selected in Subjects_in_Recordings]"))</f>
        <v>Questionnaire</v>
      </c>
      <c r="F398" s="18">
        <v>44619</v>
      </c>
      <c r="G398" s="19" t="s">
        <v>99</v>
      </c>
      <c r="H398" s="49" t="s">
        <v>31</v>
      </c>
      <c r="I398" s="49" t="s">
        <v>32</v>
      </c>
      <c r="J398" s="49" t="s">
        <v>32</v>
      </c>
      <c r="K398" s="153"/>
      <c r="L398" s="61" t="s">
        <v>34</v>
      </c>
      <c r="M398" s="20" t="s">
        <v>833</v>
      </c>
      <c r="N398" s="20" t="s">
        <v>833</v>
      </c>
      <c r="O398" s="21"/>
      <c r="P398" s="21"/>
      <c r="Q398" s="21"/>
      <c r="R398" s="21"/>
      <c r="S398" s="21"/>
      <c r="T398" s="21"/>
      <c r="U398" s="20" t="s">
        <v>1006</v>
      </c>
      <c r="V398" s="22"/>
      <c r="W398" s="23"/>
      <c r="X398" s="24"/>
      <c r="Y398" s="76" t="s">
        <v>173</v>
      </c>
      <c r="Z398" s="76"/>
      <c r="AA398" s="76" t="str">
        <f ca="1">Rcrdngs[[#This Row],[Title]]&amp;"."&amp;#REF!</f>
        <v>Khalde – HD (M.31) – Questionnaire: Grammar (Part 4)</v>
      </c>
    </row>
    <row r="399" spans="1:27" ht="15" customHeight="1">
      <c r="A399" s="97" t="s">
        <v>1031</v>
      </c>
      <c r="B399" s="27"/>
      <c r="C399" s="45" t="s">
        <v>868</v>
      </c>
      <c r="D399" s="17" t="str" cm="1">
        <f t="array" ref="D399">_xlfn.TEXTJOIN(", ", TRUE(), _xlfn._xlws.FILTER(Speakers_in_Recordings!$B$2:$B$1502,Speakers_in_Recordings!$A$2:$A$1502=Rcrdngs[[#This Row],[Text]],"[no speaker selected in Speakers_in_Recordings]"))</f>
        <v>LEB_KHAL_2022_HD_M.31_Speaker2</v>
      </c>
      <c r="E399" s="17" t="str" cm="1">
        <f t="array" ref="E399">_xlfn.TEXTJOIN(", ", TRUE(), _xlfn._xlws.FILTER(Sbcts_Rcrdngs[Subject],Sbcts_Rcrdngs[Recording]=Rcrdngs[[#This Row],[Text]],"[no subject selected in Subjects_in_Recordings]"))</f>
        <v>Questionnaire</v>
      </c>
      <c r="F399" s="18">
        <v>44619</v>
      </c>
      <c r="G399" s="19" t="s">
        <v>961</v>
      </c>
      <c r="H399" s="49" t="s">
        <v>31</v>
      </c>
      <c r="I399" s="49" t="s">
        <v>32</v>
      </c>
      <c r="J399" s="49" t="s">
        <v>32</v>
      </c>
      <c r="K399" s="153"/>
      <c r="L399" s="61" t="s">
        <v>34</v>
      </c>
      <c r="M399" s="20" t="s">
        <v>833</v>
      </c>
      <c r="N399" s="20" t="s">
        <v>833</v>
      </c>
      <c r="O399" s="21"/>
      <c r="P399" s="21"/>
      <c r="Q399" s="21"/>
      <c r="R399" s="21"/>
      <c r="S399" s="21"/>
      <c r="T399" s="21"/>
      <c r="U399" s="20" t="s">
        <v>1006</v>
      </c>
      <c r="V399" s="22"/>
      <c r="W399" s="23"/>
      <c r="X399" s="24"/>
      <c r="Y399" s="76" t="s">
        <v>173</v>
      </c>
      <c r="Z399" s="76"/>
      <c r="AA399" s="76" t="str">
        <f ca="1">Rcrdngs[[#This Row],[Title]]&amp;"."&amp;#REF!</f>
        <v>Khalde – HD (M.31) – Questionnaire: Grammar (Part 5) – nta paradigms</v>
      </c>
    </row>
    <row r="400" spans="1:27" ht="15" customHeight="1">
      <c r="A400" s="97" t="s">
        <v>1032</v>
      </c>
      <c r="B400" s="27"/>
      <c r="C400" s="45" t="s">
        <v>868</v>
      </c>
      <c r="D400" s="17" t="str" cm="1">
        <f t="array" ref="D400">_xlfn.TEXTJOIN(", ", TRUE(), _xlfn._xlws.FILTER(Speakers_in_Recordings!$B$2:$B$1502,Speakers_in_Recordings!$A$2:$A$1502=Rcrdngs[[#This Row],[Text]],"[no speaker selected in Speakers_in_Recordings]"))</f>
        <v>LEB_KHAL_2022_HD_M.31_Speaker2, AID</v>
      </c>
      <c r="E400" s="17" t="str" cm="1">
        <f t="array" ref="E400">_xlfn.TEXTJOIN(", ", TRUE(), _xlfn._xlws.FILTER(Sbcts_Rcrdngs[Subject],Sbcts_Rcrdngs[Recording]=Rcrdngs[[#This Row],[Text]],"[no subject selected in Subjects_in_Recordings]"))</f>
        <v>Questionnaire</v>
      </c>
      <c r="F400" s="18">
        <v>44619</v>
      </c>
      <c r="G400" s="19" t="s">
        <v>1033</v>
      </c>
      <c r="H400" s="49" t="s">
        <v>31</v>
      </c>
      <c r="I400" s="49" t="s">
        <v>32</v>
      </c>
      <c r="J400" s="49" t="s">
        <v>32</v>
      </c>
      <c r="K400" s="153"/>
      <c r="L400" s="61" t="s">
        <v>34</v>
      </c>
      <c r="M400" s="20" t="s">
        <v>833</v>
      </c>
      <c r="N400" s="20" t="s">
        <v>833</v>
      </c>
      <c r="O400" s="21"/>
      <c r="P400" s="21"/>
      <c r="Q400" s="21"/>
      <c r="R400" s="21"/>
      <c r="S400" s="21"/>
      <c r="T400" s="21"/>
      <c r="U400" s="20" t="s">
        <v>1006</v>
      </c>
      <c r="V400" s="22"/>
      <c r="W400" s="23"/>
      <c r="X400" s="24"/>
      <c r="Y400" s="76" t="s">
        <v>173</v>
      </c>
      <c r="Z400" s="76"/>
      <c r="AA400" s="76" t="str">
        <f ca="1">Rcrdngs[[#This Row],[Title]]&amp;"."&amp;#REF!</f>
        <v>Khalde – HD (M.31) – Questionnaire: Grammar (Part 6)</v>
      </c>
    </row>
    <row r="401" spans="1:27" ht="15" customHeight="1">
      <c r="A401" s="97" t="s">
        <v>1034</v>
      </c>
      <c r="B401" s="27"/>
      <c r="C401" s="45" t="s">
        <v>868</v>
      </c>
      <c r="D401" s="17" t="str" cm="1">
        <f t="array" ref="D401">_xlfn.TEXTJOIN(", ", TRUE(), _xlfn._xlws.FILTER(Speakers_in_Recordings!$B$2:$B$1502,Speakers_in_Recordings!$A$2:$A$1502=Rcrdngs[[#This Row],[Text]],"[no speaker selected in Speakers_in_Recordings]"))</f>
        <v>LEB_KHAL_2022_HD_M.31_Speaker2, AID</v>
      </c>
      <c r="E401" s="17" t="str" cm="1">
        <f t="array" ref="E401">_xlfn.TEXTJOIN(", ", TRUE(), _xlfn._xlws.FILTER(Sbcts_Rcrdngs[Subject],Sbcts_Rcrdngs[Recording]=Rcrdngs[[#This Row],[Text]],"[no subject selected in Subjects_in_Recordings]"))</f>
        <v>Questionnaire</v>
      </c>
      <c r="F401" s="18">
        <v>44619</v>
      </c>
      <c r="G401" s="19" t="s">
        <v>946</v>
      </c>
      <c r="H401" s="49" t="s">
        <v>31</v>
      </c>
      <c r="I401" s="49" t="s">
        <v>32</v>
      </c>
      <c r="J401" s="49" t="s">
        <v>32</v>
      </c>
      <c r="K401" s="153"/>
      <c r="L401" s="61" t="s">
        <v>34</v>
      </c>
      <c r="M401" s="20" t="s">
        <v>833</v>
      </c>
      <c r="N401" s="20" t="s">
        <v>833</v>
      </c>
      <c r="O401" s="21"/>
      <c r="P401" s="21"/>
      <c r="Q401" s="21"/>
      <c r="R401" s="21"/>
      <c r="S401" s="21"/>
      <c r="T401" s="21"/>
      <c r="U401" s="20" t="s">
        <v>1006</v>
      </c>
      <c r="V401" s="22"/>
      <c r="W401" s="23"/>
      <c r="X401" s="24"/>
      <c r="Y401" s="76" t="s">
        <v>173</v>
      </c>
      <c r="Z401" s="76"/>
      <c r="AA401" s="76" t="str">
        <f ca="1">Rcrdngs[[#This Row],[Title]]&amp;"."&amp;#REF!</f>
        <v>Khalde – HD (M.31) – Questionnaire: Grammar (Part 7)</v>
      </c>
    </row>
    <row r="402" spans="1:27" ht="15" customHeight="1">
      <c r="A402" s="35" t="s">
        <v>1035</v>
      </c>
      <c r="B402" s="27"/>
      <c r="C402" s="45" t="s">
        <v>868</v>
      </c>
      <c r="D402" s="17" t="str" cm="1">
        <f t="array" ref="D402">_xlfn.TEXTJOIN(", ", TRUE(), _xlfn._xlws.FILTER(Speakers_in_Recordings!$B$2:$B$1502,Speakers_in_Recordings!$A$2:$A$1502=Rcrdngs[[#This Row],[Text]],"[no speaker selected in Speakers_in_Recordings]"))</f>
        <v>LEB_KHAL_2022_HD_M.31_Speaker3</v>
      </c>
      <c r="E402" s="17" t="str" cm="1">
        <f t="array" ref="E402">_xlfn.TEXTJOIN(", ", TRUE(), _xlfn._xlws.FILTER(Sbcts_Rcrdngs[Subject],Sbcts_Rcrdngs[Recording]=Rcrdngs[[#This Row],[Text]],"[no subject selected in Subjects_in_Recordings]"))</f>
        <v>[no subject selected in Subjects_in_Recordings]</v>
      </c>
      <c r="F402" s="18">
        <v>44619</v>
      </c>
      <c r="G402" s="19" t="s">
        <v>897</v>
      </c>
      <c r="H402" s="49" t="s">
        <v>274</v>
      </c>
      <c r="I402" s="49" t="s">
        <v>32</v>
      </c>
      <c r="J402" s="49"/>
      <c r="K402" s="153"/>
      <c r="L402" s="61" t="s">
        <v>529</v>
      </c>
      <c r="M402" s="20" t="s">
        <v>833</v>
      </c>
      <c r="N402" s="20" t="s">
        <v>833</v>
      </c>
      <c r="O402" s="21"/>
      <c r="P402" s="21"/>
      <c r="Q402" s="21"/>
      <c r="R402" s="21"/>
      <c r="S402" s="21"/>
      <c r="T402" s="21"/>
      <c r="U402" s="20" t="s">
        <v>1006</v>
      </c>
      <c r="V402" s="22"/>
      <c r="W402" s="23"/>
      <c r="X402" s="24"/>
      <c r="Y402" s="76" t="s">
        <v>39</v>
      </c>
      <c r="Z402" s="76"/>
      <c r="AA402" s="76" t="str">
        <f ca="1">Rcrdngs[[#This Row],[Title]]&amp;"."&amp;#REF!</f>
        <v>Khalde – HD (M.31) – Imitations</v>
      </c>
    </row>
    <row r="403" spans="1:27" ht="15" customHeight="1">
      <c r="A403" s="97" t="s">
        <v>1036</v>
      </c>
      <c r="B403" s="27"/>
      <c r="C403" s="45" t="s">
        <v>868</v>
      </c>
      <c r="D403" s="17" t="str" cm="1">
        <f t="array" ref="D403">_xlfn.TEXTJOIN(", ", TRUE(), _xlfn._xlws.FILTER(Speakers_in_Recordings!$B$2:$B$1502,Speakers_in_Recordings!$A$2:$A$1502=Rcrdngs[[#This Row],[Text]],"[no speaker selected in Speakers_in_Recordings]"))</f>
        <v>LEB_KHAL_2022_HD_M.31_Speaker2</v>
      </c>
      <c r="E403" s="17" t="str" cm="1">
        <f t="array" ref="E403">_xlfn.TEXTJOIN(", ", TRUE(), _xlfn._xlws.FILTER(Sbcts_Rcrdngs[Subject],Sbcts_Rcrdngs[Recording]=Rcrdngs[[#This Row],[Text]],"[no subject selected in Subjects_in_Recordings]"))</f>
        <v>Questionnaire</v>
      </c>
      <c r="F403" s="18">
        <v>44619</v>
      </c>
      <c r="G403" s="19" t="s">
        <v>1037</v>
      </c>
      <c r="H403" s="49" t="s">
        <v>31</v>
      </c>
      <c r="I403" s="49" t="s">
        <v>32</v>
      </c>
      <c r="J403" s="49" t="s">
        <v>32</v>
      </c>
      <c r="K403" s="153"/>
      <c r="L403" s="61" t="s">
        <v>34</v>
      </c>
      <c r="M403" s="20" t="s">
        <v>833</v>
      </c>
      <c r="N403" s="20" t="s">
        <v>833</v>
      </c>
      <c r="O403" s="21"/>
      <c r="P403" s="21"/>
      <c r="Q403" s="21"/>
      <c r="R403" s="21"/>
      <c r="S403" s="21"/>
      <c r="T403" s="21"/>
      <c r="U403" s="20" t="s">
        <v>1006</v>
      </c>
      <c r="V403" s="22"/>
      <c r="W403" s="23"/>
      <c r="X403" s="24"/>
      <c r="Y403" s="76" t="s">
        <v>87</v>
      </c>
      <c r="Z403" s="76"/>
      <c r="AA403" s="76" t="str">
        <f ca="1">Rcrdngs[[#This Row],[Title]]&amp;"."&amp;#REF!</f>
        <v>Khalde – HD (M.31) – Questionnaire: Visual (Part 1)</v>
      </c>
    </row>
    <row r="404" spans="1:27" ht="15" customHeight="1">
      <c r="A404" s="97" t="s">
        <v>1038</v>
      </c>
      <c r="B404" s="27"/>
      <c r="C404" s="45" t="s">
        <v>868</v>
      </c>
      <c r="D404" s="17" t="str" cm="1">
        <f t="array" ref="D404">_xlfn.TEXTJOIN(", ", TRUE(), _xlfn._xlws.FILTER(Speakers_in_Recordings!$B$2:$B$1502,Speakers_in_Recordings!$A$2:$A$1502=Rcrdngs[[#This Row],[Text]],"[no speaker selected in Speakers_in_Recordings]"))</f>
        <v>LEB_KHAL_2022_HD_M.31_Speaker2</v>
      </c>
      <c r="E404" s="17" t="str" cm="1">
        <f t="array" ref="E404">_xlfn.TEXTJOIN(", ", TRUE(), _xlfn._xlws.FILTER(Sbcts_Rcrdngs[Subject],Sbcts_Rcrdngs[Recording]=Rcrdngs[[#This Row],[Text]],"[no subject selected in Subjects_in_Recordings]"))</f>
        <v>Questionnaire</v>
      </c>
      <c r="F404" s="18">
        <v>44619</v>
      </c>
      <c r="G404" s="19" t="s">
        <v>1039</v>
      </c>
      <c r="H404" s="49" t="s">
        <v>31</v>
      </c>
      <c r="I404" s="49" t="s">
        <v>32</v>
      </c>
      <c r="J404" s="49" t="s">
        <v>32</v>
      </c>
      <c r="K404" s="153"/>
      <c r="L404" s="61" t="s">
        <v>34</v>
      </c>
      <c r="M404" s="20" t="s">
        <v>833</v>
      </c>
      <c r="N404" s="20" t="s">
        <v>833</v>
      </c>
      <c r="O404" s="21"/>
      <c r="P404" s="21"/>
      <c r="Q404" s="21"/>
      <c r="R404" s="21"/>
      <c r="S404" s="21"/>
      <c r="T404" s="21"/>
      <c r="U404" s="20" t="s">
        <v>1006</v>
      </c>
      <c r="V404" s="22"/>
      <c r="W404" s="23"/>
      <c r="X404" s="24"/>
      <c r="Y404" s="76" t="s">
        <v>87</v>
      </c>
      <c r="Z404" s="76"/>
      <c r="AA404" s="76" t="str">
        <f ca="1">Rcrdngs[[#This Row],[Title]]&amp;"."&amp;#REF!</f>
        <v>Khalde – HD (M.31) – Questionnaire: Visual (Part 2) – to-come paradigm</v>
      </c>
    </row>
    <row r="405" spans="1:27" ht="15" customHeight="1">
      <c r="A405" s="97" t="s">
        <v>1040</v>
      </c>
      <c r="B405" s="27"/>
      <c r="C405" s="45" t="s">
        <v>868</v>
      </c>
      <c r="D405" s="17" t="str" cm="1">
        <f t="array" ref="D405">_xlfn.TEXTJOIN(", ", TRUE(), _xlfn._xlws.FILTER(Speakers_in_Recordings!$B$2:$B$1502,Speakers_in_Recordings!$A$2:$A$1502=Rcrdngs[[#This Row],[Text]],"[no speaker selected in Speakers_in_Recordings]"))</f>
        <v>LEB_KHAL_2022_HD_M.31_Speaker2, AID</v>
      </c>
      <c r="E405" s="17" t="str" cm="1">
        <f t="array" ref="E405">_xlfn.TEXTJOIN(", ", TRUE(), _xlfn._xlws.FILTER(Sbcts_Rcrdngs[Subject],Sbcts_Rcrdngs[Recording]=Rcrdngs[[#This Row],[Text]],"[no subject selected in Subjects_in_Recordings]"))</f>
        <v>Questionnaire</v>
      </c>
      <c r="F405" s="18">
        <v>44619</v>
      </c>
      <c r="G405" s="19" t="s">
        <v>194</v>
      </c>
      <c r="H405" s="49" t="s">
        <v>31</v>
      </c>
      <c r="I405" s="49" t="s">
        <v>32</v>
      </c>
      <c r="J405" s="49" t="s">
        <v>32</v>
      </c>
      <c r="K405" s="153"/>
      <c r="L405" s="61" t="s">
        <v>34</v>
      </c>
      <c r="M405" s="20" t="s">
        <v>833</v>
      </c>
      <c r="N405" s="20" t="s">
        <v>833</v>
      </c>
      <c r="O405" s="21"/>
      <c r="P405" s="21"/>
      <c r="Q405" s="21"/>
      <c r="R405" s="21"/>
      <c r="S405" s="21"/>
      <c r="T405" s="21"/>
      <c r="U405" s="20" t="s">
        <v>1006</v>
      </c>
      <c r="V405" s="22"/>
      <c r="W405" s="23"/>
      <c r="X405" s="24"/>
      <c r="Y405" s="76" t="s">
        <v>87</v>
      </c>
      <c r="Z405" s="76"/>
      <c r="AA405" s="76" t="str">
        <f ca="1">Rcrdngs[[#This Row],[Title]]&amp;"."&amp;#REF!</f>
        <v>Khalde – HD (M.31) – Questionnaire: Visual (Part 3) – tarak da shar3af</v>
      </c>
    </row>
    <row r="406" spans="1:27" ht="15" customHeight="1">
      <c r="A406" s="97" t="s">
        <v>1041</v>
      </c>
      <c r="B406" s="27"/>
      <c r="C406" s="45" t="s">
        <v>868</v>
      </c>
      <c r="D406" s="17" t="str" cm="1">
        <f t="array" ref="D406">_xlfn.TEXTJOIN(", ", TRUE(), _xlfn._xlws.FILTER(Speakers_in_Recordings!$B$2:$B$1502,Speakers_in_Recordings!$A$2:$A$1502=Rcrdngs[[#This Row],[Text]],"[no speaker selected in Speakers_in_Recordings]"))</f>
        <v>LEB_KHAL_2022_HD_M.31_Speaker2</v>
      </c>
      <c r="E406" s="17" t="str" cm="1">
        <f t="array" ref="E406">_xlfn.TEXTJOIN(", ", TRUE(), _xlfn._xlws.FILTER(Sbcts_Rcrdngs[Subject],Sbcts_Rcrdngs[Recording]=Rcrdngs[[#This Row],[Text]],"[no subject selected in Subjects_in_Recordings]"))</f>
        <v>Questionnaire</v>
      </c>
      <c r="F406" s="18">
        <v>44619</v>
      </c>
      <c r="G406" s="19" t="s">
        <v>1042</v>
      </c>
      <c r="H406" s="49" t="s">
        <v>31</v>
      </c>
      <c r="I406" s="49" t="s">
        <v>32</v>
      </c>
      <c r="J406" s="49" t="s">
        <v>32</v>
      </c>
      <c r="K406" s="153"/>
      <c r="L406" s="61" t="s">
        <v>34</v>
      </c>
      <c r="M406" s="20" t="s">
        <v>833</v>
      </c>
      <c r="N406" s="20" t="s">
        <v>833</v>
      </c>
      <c r="O406" s="21"/>
      <c r="P406" s="21"/>
      <c r="Q406" s="21"/>
      <c r="R406" s="21"/>
      <c r="S406" s="21"/>
      <c r="T406" s="21"/>
      <c r="U406" s="20" t="s">
        <v>1006</v>
      </c>
      <c r="V406" s="22"/>
      <c r="W406" s="23"/>
      <c r="X406" s="24"/>
      <c r="Y406" s="76" t="s">
        <v>87</v>
      </c>
      <c r="Z406" s="76"/>
      <c r="AA406" s="76" t="str">
        <f ca="1">Rcrdngs[[#This Row],[Title]]&amp;"."&amp;#REF!</f>
        <v>Khalde – HD (M.31) – Questionnaire: Visual (Part 4) – Action Cards</v>
      </c>
    </row>
    <row r="407" spans="1:27" ht="15" customHeight="1">
      <c r="A407" s="35"/>
      <c r="B407" s="27"/>
      <c r="C407" s="45"/>
      <c r="D407" s="17" t="str" cm="1">
        <f t="array" ref="D407">_xlfn.TEXTJOIN(", ", TRUE(), _xlfn._xlws.FILTER(Speakers_in_Recordings!$B$2:$B$1502,Speakers_in_Recordings!$A$2:$A$1502=Rcrdngs[[#This Row],[Text]],"[no speaker selected in Speakers_in_Recordings]"))</f>
        <v/>
      </c>
      <c r="E407" s="17" t="str" cm="1">
        <f t="array" ref="E407">_xlfn.TEXTJOIN(", ", TRUE(), _xlfn._xlws.FILTER(Sbcts_Rcrdngs[Subject],Sbcts_Rcrdngs[Recording]=Rcrdngs[[#This Row],[Text]],"[no subject selected in Subjects_in_Recordings]"))</f>
        <v/>
      </c>
      <c r="F407" s="18"/>
      <c r="G407" s="19"/>
      <c r="H407" s="49"/>
      <c r="I407" s="19"/>
      <c r="J407" s="19"/>
      <c r="K407" s="153"/>
      <c r="L407" s="61"/>
      <c r="M407" s="20"/>
      <c r="N407" s="20"/>
      <c r="O407" s="21"/>
      <c r="P407" s="21"/>
      <c r="Q407" s="21"/>
      <c r="R407" s="21"/>
      <c r="S407" s="21"/>
      <c r="T407" s="21"/>
      <c r="U407" s="20"/>
      <c r="V407" s="22"/>
      <c r="W407" s="23"/>
      <c r="X407" s="24"/>
      <c r="Y407" s="76"/>
      <c r="Z407" s="76"/>
      <c r="AA407" s="76"/>
    </row>
    <row r="408" spans="1:27" ht="15" customHeight="1">
      <c r="A408" s="35" t="s">
        <v>1043</v>
      </c>
      <c r="B408" s="27"/>
      <c r="C408" s="45" t="s">
        <v>868</v>
      </c>
      <c r="D408" s="17" t="str" cm="1">
        <f t="array" ref="D408">_xlfn.TEXTJOIN(", ", TRUE(), _xlfn._xlws.FILTER(Speakers_in_Recordings!$B$2:$B$1502,Speakers_in_Recordings!$A$2:$A$1502=Rcrdngs[[#This Row],[Text]],"[no speaker selected in Speakers_in_Recordings]"))</f>
        <v>LEB_BEK_2022_BL_M.41_Speaker1, LEB_KAR_2022_KZ_M.27_Speaker12</v>
      </c>
      <c r="E408" s="17" t="str" cm="1">
        <f t="array" ref="E408">_xlfn.TEXTJOIN(", ", TRUE(), _xlfn._xlws.FILTER(Sbcts_Rcrdngs[Subject],Sbcts_Rcrdngs[Recording]=Rcrdngs[[#This Row],[Text]],"[no subject selected in Subjects_in_Recordings]"))</f>
        <v>[no subject selected in Subjects_in_Recordings]</v>
      </c>
      <c r="F408" s="99">
        <v>44622</v>
      </c>
      <c r="G408" s="19" t="s">
        <v>1044</v>
      </c>
      <c r="H408" s="49" t="s">
        <v>274</v>
      </c>
      <c r="I408" s="19" t="s">
        <v>32</v>
      </c>
      <c r="J408" s="19"/>
      <c r="K408" s="153"/>
      <c r="L408" s="61" t="s">
        <v>529</v>
      </c>
      <c r="M408" s="20" t="s">
        <v>833</v>
      </c>
      <c r="N408" s="20"/>
      <c r="O408" s="21"/>
      <c r="P408" s="21"/>
      <c r="Q408" s="21"/>
      <c r="R408" s="21"/>
      <c r="S408" s="21"/>
      <c r="T408" s="21"/>
      <c r="U408" s="20" t="s">
        <v>1045</v>
      </c>
      <c r="V408" s="22"/>
      <c r="W408" s="23"/>
      <c r="X408" s="24"/>
      <c r="Y408" s="76" t="s">
        <v>39</v>
      </c>
      <c r="Z408" s="76"/>
      <c r="AA408" s="76" t="str">
        <f ca="1">Rcrdngs[[#This Row],[Title]]&amp;"."&amp;#REF!</f>
        <v>Marj – BL (M.41) – Bedouin Society: History</v>
      </c>
    </row>
    <row r="409" spans="1:27" ht="15" customHeight="1">
      <c r="A409" s="35" t="s">
        <v>1046</v>
      </c>
      <c r="B409" s="27"/>
      <c r="C409" s="45" t="s">
        <v>868</v>
      </c>
      <c r="D409" s="17" t="str" cm="1">
        <f t="array" ref="D409">_xlfn.TEXTJOIN(", ", TRUE(), _xlfn._xlws.FILTER(Speakers_in_Recordings!$B$2:$B$1502,Speakers_in_Recordings!$A$2:$A$1502=Rcrdngs[[#This Row],[Text]],"[no speaker selected in Speakers_in_Recordings]"))</f>
        <v>LEB_BEK_2022_BL_M.41_Speaker1, LEB_KAR_2022_KZ_M.27_Speaker12, LEB_BEK_2022_BL_M.50_Speaker2</v>
      </c>
      <c r="E409" s="17" t="str" cm="1">
        <f t="array" ref="E409">_xlfn.TEXTJOIN(", ", TRUE(), _xlfn._xlws.FILTER(Sbcts_Rcrdngs[Subject],Sbcts_Rcrdngs[Recording]=Rcrdngs[[#This Row],[Text]],"[no subject selected in Subjects_in_Recordings]"))</f>
        <v>[no subject selected in Subjects_in_Recordings]</v>
      </c>
      <c r="F409" s="99">
        <v>44622</v>
      </c>
      <c r="G409" s="19" t="s">
        <v>1047</v>
      </c>
      <c r="H409" s="49" t="s">
        <v>274</v>
      </c>
      <c r="I409" s="19" t="s">
        <v>32</v>
      </c>
      <c r="J409" s="19"/>
      <c r="K409" s="153"/>
      <c r="L409" s="61" t="s">
        <v>529</v>
      </c>
      <c r="M409" s="20" t="s">
        <v>833</v>
      </c>
      <c r="N409" s="20"/>
      <c r="O409" s="21"/>
      <c r="P409" s="21"/>
      <c r="Q409" s="21"/>
      <c r="R409" s="21"/>
      <c r="S409" s="21"/>
      <c r="T409" s="21"/>
      <c r="U409" s="20" t="s">
        <v>1045</v>
      </c>
      <c r="V409" s="22"/>
      <c r="W409" s="23"/>
      <c r="X409" s="24"/>
      <c r="Y409" s="76" t="s">
        <v>39</v>
      </c>
      <c r="Z409" s="76"/>
      <c r="AA409" s="76" t="str">
        <f ca="1">Rcrdngs[[#This Row],[Title]]&amp;"."&amp;#REF!</f>
        <v>Marj – BL (M.41) – Islamic Traditions; Nasab (Visual Elicitation)</v>
      </c>
    </row>
    <row r="410" spans="1:27" ht="15" customHeight="1">
      <c r="A410" s="35" t="s">
        <v>1048</v>
      </c>
      <c r="B410" s="27"/>
      <c r="C410" s="45" t="s">
        <v>868</v>
      </c>
      <c r="D410" s="17" t="str" cm="1">
        <f t="array" ref="D410">_xlfn.TEXTJOIN(", ", TRUE(), _xlfn._xlws.FILTER(Speakers_in_Recordings!$B$2:$B$1502,Speakers_in_Recordings!$A$2:$A$1502=Rcrdngs[[#This Row],[Text]],"[no speaker selected in Speakers_in_Recordings]"))</f>
        <v>LEB_BEK_2022_BL_M.50_Speaker3</v>
      </c>
      <c r="E410" s="17" t="str" cm="1">
        <f t="array" ref="E410">_xlfn.TEXTJOIN(", ", TRUE(), _xlfn._xlws.FILTER(Sbcts_Rcrdngs[Subject],Sbcts_Rcrdngs[Recording]=Rcrdngs[[#This Row],[Text]],"[no subject selected in Subjects_in_Recordings]"))</f>
        <v>[no subject selected in Subjects_in_Recordings]</v>
      </c>
      <c r="F410" s="99">
        <v>44622</v>
      </c>
      <c r="G410" s="19" t="s">
        <v>1049</v>
      </c>
      <c r="H410" s="49" t="s">
        <v>274</v>
      </c>
      <c r="I410" s="19" t="s">
        <v>32</v>
      </c>
      <c r="J410" s="19"/>
      <c r="K410" s="153"/>
      <c r="L410" s="61" t="s">
        <v>529</v>
      </c>
      <c r="M410" s="20" t="s">
        <v>833</v>
      </c>
      <c r="N410" s="20"/>
      <c r="O410" s="21"/>
      <c r="P410" s="21"/>
      <c r="Q410" s="21"/>
      <c r="R410" s="21"/>
      <c r="S410" s="21"/>
      <c r="T410" s="21"/>
      <c r="U410" s="20" t="s">
        <v>1045</v>
      </c>
      <c r="V410" s="22"/>
      <c r="W410" s="23"/>
      <c r="X410" s="24"/>
      <c r="Y410" s="76" t="s">
        <v>87</v>
      </c>
      <c r="Z410" s="76"/>
      <c r="AA410" s="76" t="str">
        <f ca="1">Rcrdngs[[#This Row],[Title]]&amp;"."&amp;#REF!</f>
        <v>Marj – SL (M.50) – Visual Elicitation</v>
      </c>
    </row>
    <row r="411" spans="1:27" ht="15" customHeight="1">
      <c r="A411" s="35" t="s">
        <v>1050</v>
      </c>
      <c r="B411" s="27"/>
      <c r="C411" s="45" t="s">
        <v>868</v>
      </c>
      <c r="D411" s="17" t="str" cm="1">
        <f t="array" ref="D411">_xlfn.TEXTJOIN(", ", TRUE(), _xlfn._xlws.FILTER(Speakers_in_Recordings!$B$2:$B$1502,Speakers_in_Recordings!$A$2:$A$1502=Rcrdngs[[#This Row],[Text]],"[no speaker selected in Speakers_in_Recordings]"))</f>
        <v>LEB_BEK_2022_LF_M.66_Speaker1, LEB_BEK_2022_MN_F.61_Speaker3, LEB_BEK_2022_MH_F.64_Speaker4</v>
      </c>
      <c r="E411" s="17" t="str" cm="1">
        <f t="array" ref="E411">_xlfn.TEXTJOIN(", ", TRUE(), _xlfn._xlws.FILTER(Sbcts_Rcrdngs[Subject],Sbcts_Rcrdngs[Recording]=Rcrdngs[[#This Row],[Text]],"[no subject selected in Subjects_in_Recordings]"))</f>
        <v>[no subject selected in Subjects_in_Recordings]</v>
      </c>
      <c r="F411" s="99">
        <v>44622</v>
      </c>
      <c r="G411" s="19" t="s">
        <v>1051</v>
      </c>
      <c r="H411" s="49" t="s">
        <v>274</v>
      </c>
      <c r="I411" s="19" t="s">
        <v>32</v>
      </c>
      <c r="J411" s="19"/>
      <c r="K411" s="153"/>
      <c r="L411" s="61" t="s">
        <v>529</v>
      </c>
      <c r="M411" s="20" t="s">
        <v>833</v>
      </c>
      <c r="N411" s="20"/>
      <c r="O411" s="21"/>
      <c r="P411" s="21"/>
      <c r="Q411" s="21"/>
      <c r="R411" s="21"/>
      <c r="S411" s="21"/>
      <c r="T411" s="21"/>
      <c r="U411" s="20" t="s">
        <v>1052</v>
      </c>
      <c r="V411" s="22"/>
      <c r="W411" s="23"/>
      <c r="X411" s="24"/>
      <c r="Y411" s="76" t="s">
        <v>39</v>
      </c>
      <c r="Z411" s="76"/>
      <c r="AA411" s="76" t="str">
        <f ca="1">Rcrdngs[[#This Row],[Title]]&amp;"."&amp;#REF!</f>
        <v>Haouchel Harime – MN (F.61) – Intro; Traditions</v>
      </c>
    </row>
    <row r="412" spans="1:27" ht="15" customHeight="1">
      <c r="A412" s="35" t="s">
        <v>1053</v>
      </c>
      <c r="B412" s="27"/>
      <c r="C412" s="45" t="s">
        <v>868</v>
      </c>
      <c r="D412" s="17" t="str" cm="1">
        <f t="array" ref="D412">_xlfn.TEXTJOIN(", ", TRUE(), _xlfn._xlws.FILTER(Speakers_in_Recordings!$B$2:$B$1502,Speakers_in_Recordings!$A$2:$A$1502=Rcrdngs[[#This Row],[Text]],"[no speaker selected in Speakers_in_Recordings]"))</f>
        <v>LEB_BEK_2022_MN_F.61_Speaker3, LEB_BEK_2022_MH_F.64_Speaker4</v>
      </c>
      <c r="E412" s="17" t="str" cm="1">
        <f t="array" ref="E412">_xlfn.TEXTJOIN(", ", TRUE(), _xlfn._xlws.FILTER(Sbcts_Rcrdngs[Subject],Sbcts_Rcrdngs[Recording]=Rcrdngs[[#This Row],[Text]],"[no subject selected in Subjects_in_Recordings]"))</f>
        <v>[no subject selected in Subjects_in_Recordings]</v>
      </c>
      <c r="F412" s="99">
        <v>44622</v>
      </c>
      <c r="G412" s="19" t="s">
        <v>420</v>
      </c>
      <c r="H412" s="49" t="s">
        <v>274</v>
      </c>
      <c r="I412" s="19" t="s">
        <v>32</v>
      </c>
      <c r="J412" s="19"/>
      <c r="K412" s="153"/>
      <c r="L412" s="61" t="s">
        <v>529</v>
      </c>
      <c r="M412" s="20" t="s">
        <v>833</v>
      </c>
      <c r="N412" s="20"/>
      <c r="O412" s="21"/>
      <c r="P412" s="21"/>
      <c r="Q412" s="21"/>
      <c r="R412" s="21"/>
      <c r="S412" s="21"/>
      <c r="T412" s="21"/>
      <c r="U412" s="20" t="s">
        <v>1052</v>
      </c>
      <c r="V412" s="22"/>
      <c r="W412" s="23"/>
      <c r="X412" s="24"/>
      <c r="Y412" s="76" t="s">
        <v>87</v>
      </c>
      <c r="Z412" s="76"/>
      <c r="AA412" s="76" t="str">
        <f ca="1">Rcrdngs[[#This Row],[Title]]&amp;"."&amp;#REF!</f>
        <v>Haouchel Harime – MN (F.61), MH (F 64) – Body Parts</v>
      </c>
    </row>
    <row r="413" spans="1:27" ht="15" customHeight="1">
      <c r="A413" s="35" t="s">
        <v>1054</v>
      </c>
      <c r="B413" s="27"/>
      <c r="C413" s="45" t="s">
        <v>868</v>
      </c>
      <c r="D413" s="17" t="str" cm="1">
        <f t="array" ref="D413">_xlfn.TEXTJOIN(", ", TRUE(), _xlfn._xlws.FILTER(Speakers_in_Recordings!$B$2:$B$1502,Speakers_in_Recordings!$A$2:$A$1502=Rcrdngs[[#This Row],[Text]],"[no speaker selected in Speakers_in_Recordings]"))</f>
        <v>LEB_BEK_2022_MN_F.61_Speaker3, LEB_BEK_2022_MH_F.64_Speaker4</v>
      </c>
      <c r="E413" s="17" t="str" cm="1">
        <f t="array" ref="E413">_xlfn.TEXTJOIN(", ", TRUE(), _xlfn._xlws.FILTER(Sbcts_Rcrdngs[Subject],Sbcts_Rcrdngs[Recording]=Rcrdngs[[#This Row],[Text]],"[no subject selected in Subjects_in_Recordings]"))</f>
        <v>[no subject selected in Subjects_in_Recordings]</v>
      </c>
      <c r="F413" s="99">
        <v>44622</v>
      </c>
      <c r="G413" s="19" t="s">
        <v>1055</v>
      </c>
      <c r="H413" s="49" t="s">
        <v>274</v>
      </c>
      <c r="I413" s="19" t="s">
        <v>32</v>
      </c>
      <c r="J413" s="19"/>
      <c r="K413" s="153"/>
      <c r="L413" s="61" t="s">
        <v>529</v>
      </c>
      <c r="M413" s="20" t="s">
        <v>833</v>
      </c>
      <c r="N413" s="20"/>
      <c r="O413" s="21"/>
      <c r="P413" s="21"/>
      <c r="Q413" s="21"/>
      <c r="R413" s="21"/>
      <c r="S413" s="21"/>
      <c r="T413" s="21"/>
      <c r="U413" s="20" t="s">
        <v>1052</v>
      </c>
      <c r="V413" s="22"/>
      <c r="W413" s="23"/>
      <c r="X413" s="24"/>
      <c r="Y413" s="76" t="s">
        <v>87</v>
      </c>
      <c r="Z413" s="76"/>
      <c r="AA413" s="76" t="str">
        <f ca="1">Rcrdngs[[#This Row],[Title]]&amp;"."&amp;#REF!</f>
        <v>Haouchel Harime – MN (F.61), MH (F 64) – Visual Elicitation; Questionnaire</v>
      </c>
    </row>
    <row r="414" spans="1:27" ht="15" customHeight="1">
      <c r="A414" s="35" t="s">
        <v>1056</v>
      </c>
      <c r="B414" s="27"/>
      <c r="C414" s="45" t="s">
        <v>983</v>
      </c>
      <c r="D414" s="17" t="str" cm="1">
        <f t="array" ref="D414">_xlfn.TEXTJOIN(", ", TRUE(), _xlfn._xlws.FILTER(Speakers_in_Recordings!$B$2:$B$1502,Speakers_in_Recordings!$A$2:$A$1502=Rcrdngs[[#This Row],[Text]],"[no speaker selected in Speakers_in_Recordings]"))</f>
        <v>LEB_BEK_2022_AS_M.71_Speaker2</v>
      </c>
      <c r="E414" s="17" t="str" cm="1">
        <f t="array" ref="E414">_xlfn.TEXTJOIN(", ", TRUE(), _xlfn._xlws.FILTER(Sbcts_Rcrdngs[Subject],Sbcts_Rcrdngs[Recording]=Rcrdngs[[#This Row],[Text]],"[no subject selected in Subjects_in_Recordings]"))</f>
        <v>[no subject selected in Subjects_in_Recordings]</v>
      </c>
      <c r="F414" s="99">
        <v>44622</v>
      </c>
      <c r="G414" s="19" t="s">
        <v>1057</v>
      </c>
      <c r="H414" s="49" t="s">
        <v>274</v>
      </c>
      <c r="I414" s="19" t="s">
        <v>32</v>
      </c>
      <c r="J414" s="19"/>
      <c r="K414" s="153"/>
      <c r="L414" s="61" t="s">
        <v>529</v>
      </c>
      <c r="M414" s="20" t="s">
        <v>933</v>
      </c>
      <c r="N414" s="20"/>
      <c r="O414" s="21"/>
      <c r="P414" s="21"/>
      <c r="Q414" s="21"/>
      <c r="R414" s="21"/>
      <c r="S414" s="21"/>
      <c r="T414" s="21"/>
      <c r="U414" s="20" t="s">
        <v>1052</v>
      </c>
      <c r="V414" s="22"/>
      <c r="W414" s="23"/>
      <c r="X414" s="24"/>
      <c r="Y414" s="76" t="s">
        <v>39</v>
      </c>
      <c r="Z414" s="76"/>
      <c r="AA414" s="76" t="str">
        <f ca="1">Rcrdngs[[#This Row],[Title]]&amp;"."&amp;#REF!</f>
        <v>Haouchel Harime – AS (M.71) – Free</v>
      </c>
    </row>
    <row r="415" spans="1:27" ht="15" customHeight="1">
      <c r="A415" s="35" t="s">
        <v>1058</v>
      </c>
      <c r="B415" s="27"/>
      <c r="C415" s="45" t="s">
        <v>868</v>
      </c>
      <c r="D415" s="17" t="str" cm="1">
        <f t="array" ref="D415">_xlfn.TEXTJOIN(", ", TRUE(), _xlfn._xlws.FILTER(Speakers_in_Recordings!$B$2:$B$1502,Speakers_in_Recordings!$A$2:$A$1502=Rcrdngs[[#This Row],[Text]],"[no speaker selected in Speakers_in_Recordings]"))</f>
        <v>LEB_BEK_2022_AS_M.71_Speaker3</v>
      </c>
      <c r="E415" s="17" t="str" cm="1">
        <f t="array" ref="E415">_xlfn.TEXTJOIN(", ", TRUE(), _xlfn._xlws.FILTER(Sbcts_Rcrdngs[Subject],Sbcts_Rcrdngs[Recording]=Rcrdngs[[#This Row],[Text]],"[no subject selected in Subjects_in_Recordings]"))</f>
        <v>[no subject selected in Subjects_in_Recordings]</v>
      </c>
      <c r="F415" s="99">
        <v>44622</v>
      </c>
      <c r="G415" s="19" t="s">
        <v>1059</v>
      </c>
      <c r="H415" s="49" t="s">
        <v>274</v>
      </c>
      <c r="I415" s="19" t="s">
        <v>32</v>
      </c>
      <c r="J415" s="19"/>
      <c r="K415" s="153"/>
      <c r="L415" s="61" t="s">
        <v>529</v>
      </c>
      <c r="M415" s="20" t="s">
        <v>833</v>
      </c>
      <c r="N415" s="20"/>
      <c r="O415" s="21"/>
      <c r="P415" s="21"/>
      <c r="Q415" s="21"/>
      <c r="R415" s="21"/>
      <c r="S415" s="21"/>
      <c r="T415" s="21"/>
      <c r="U415" s="20" t="s">
        <v>1052</v>
      </c>
      <c r="V415" s="22"/>
      <c r="W415" s="23"/>
      <c r="X415" s="24"/>
      <c r="Y415" s="76" t="s">
        <v>173</v>
      </c>
      <c r="Z415" s="76"/>
      <c r="AA415" s="76" t="str">
        <f ca="1">Rcrdngs[[#This Row],[Title]]&amp;"."&amp;#REF!</f>
        <v>Haouchel Harime – AS (M.71) – Questionnaire</v>
      </c>
    </row>
    <row r="416" spans="1:27" ht="15" customHeight="1">
      <c r="A416" s="35" t="s">
        <v>1060</v>
      </c>
      <c r="B416" s="27"/>
      <c r="C416" s="45" t="s">
        <v>868</v>
      </c>
      <c r="D416" s="17" t="str" cm="1">
        <f t="array" ref="D416">_xlfn.TEXTJOIN(", ", TRUE(), _xlfn._xlws.FILTER(Speakers_in_Recordings!$B$2:$B$1502,Speakers_in_Recordings!$A$2:$A$1502=Rcrdngs[[#This Row],[Text]],"[no speaker selected in Speakers_in_Recordings]"))</f>
        <v>LEB_BEK_2022_LF_M.66_Speaker1</v>
      </c>
      <c r="E416" s="17" t="str" cm="1">
        <f t="array" ref="E416">_xlfn.TEXTJOIN(", ", TRUE(), _xlfn._xlws.FILTER(Sbcts_Rcrdngs[Subject],Sbcts_Rcrdngs[Recording]=Rcrdngs[[#This Row],[Text]],"[no subject selected in Subjects_in_Recordings]"))</f>
        <v>[no subject selected in Subjects_in_Recordings]</v>
      </c>
      <c r="F416" s="99">
        <v>44622</v>
      </c>
      <c r="G416" s="19" t="s">
        <v>96</v>
      </c>
      <c r="H416" s="49" t="s">
        <v>274</v>
      </c>
      <c r="I416" s="19" t="s">
        <v>32</v>
      </c>
      <c r="J416" s="19"/>
      <c r="K416" s="153"/>
      <c r="L416" s="61" t="s">
        <v>529</v>
      </c>
      <c r="M416" s="20" t="s">
        <v>933</v>
      </c>
      <c r="N416" s="20"/>
      <c r="O416" s="21"/>
      <c r="P416" s="21"/>
      <c r="Q416" s="21"/>
      <c r="R416" s="21"/>
      <c r="S416" s="21"/>
      <c r="T416" s="21"/>
      <c r="U416" s="20" t="s">
        <v>1052</v>
      </c>
      <c r="V416" s="22"/>
      <c r="W416" s="23"/>
      <c r="X416" s="24"/>
      <c r="Y416" s="76" t="s">
        <v>39</v>
      </c>
      <c r="Z416" s="76"/>
      <c r="AA416" s="76" t="str">
        <f ca="1">Rcrdngs[[#This Row],[Title]]&amp;"."&amp;#REF!</f>
        <v>Haouchel Harime – LF (M.66) – Free Speech</v>
      </c>
    </row>
    <row r="417" spans="1:27" ht="15" customHeight="1">
      <c r="A417" s="35" t="s">
        <v>1061</v>
      </c>
      <c r="B417" s="27"/>
      <c r="C417" s="45" t="s">
        <v>868</v>
      </c>
      <c r="D417" s="17" t="str" cm="1">
        <f t="array" ref="D417">_xlfn.TEXTJOIN(", ", TRUE(), _xlfn._xlws.FILTER(Speakers_in_Recordings!$B$2:$B$1502,Speakers_in_Recordings!$A$2:$A$1502=Rcrdngs[[#This Row],[Text]],"[no speaker selected in Speakers_in_Recordings]"))</f>
        <v>LEB_BEK_2022_LF_M.66_Speaker1</v>
      </c>
      <c r="E417" s="17" t="str" cm="1">
        <f t="array" ref="E417">_xlfn.TEXTJOIN(", ", TRUE(), _xlfn._xlws.FILTER(Sbcts_Rcrdngs[Subject],Sbcts_Rcrdngs[Recording]=Rcrdngs[[#This Row],[Text]],"[no subject selected in Subjects_in_Recordings]"))</f>
        <v>[no subject selected in Subjects_in_Recordings]</v>
      </c>
      <c r="F417" s="99">
        <v>44622</v>
      </c>
      <c r="G417" s="19" t="s">
        <v>840</v>
      </c>
      <c r="H417" s="49" t="s">
        <v>274</v>
      </c>
      <c r="I417" s="19" t="s">
        <v>32</v>
      </c>
      <c r="J417" s="19"/>
      <c r="K417" s="153"/>
      <c r="L417" s="61" t="s">
        <v>529</v>
      </c>
      <c r="M417" s="20" t="s">
        <v>933</v>
      </c>
      <c r="N417" s="20"/>
      <c r="O417" s="21"/>
      <c r="P417" s="21"/>
      <c r="Q417" s="21"/>
      <c r="R417" s="21"/>
      <c r="S417" s="21"/>
      <c r="T417" s="21"/>
      <c r="U417" s="20" t="s">
        <v>1052</v>
      </c>
      <c r="V417" s="22"/>
      <c r="W417" s="23"/>
      <c r="X417" s="24"/>
      <c r="Y417" s="76" t="s">
        <v>39</v>
      </c>
      <c r="Z417" s="76"/>
      <c r="AA417" s="76" t="str">
        <f ca="1">Rcrdngs[[#This Row],[Title]]&amp;"."&amp;#REF!</f>
        <v>Haouchel Harime – LF (M.66) – Free Speech (Part 2)</v>
      </c>
    </row>
    <row r="418" spans="1:27" ht="15" customHeight="1">
      <c r="A418" s="35" t="s">
        <v>1062</v>
      </c>
      <c r="B418" s="27"/>
      <c r="C418" s="45" t="s">
        <v>868</v>
      </c>
      <c r="D418" s="17" t="str" cm="1">
        <f t="array" ref="D418">_xlfn.TEXTJOIN(", ", TRUE(), _xlfn._xlws.FILTER(Speakers_in_Recordings!$B$2:$B$1502,Speakers_in_Recordings!$A$2:$A$1502=Rcrdngs[[#This Row],[Text]],"[no speaker selected in Speakers_in_Recordings]"))</f>
        <v>LEB_BEK_2022_LF_M.66_Speaker1</v>
      </c>
      <c r="E418" s="17" t="str" cm="1">
        <f t="array" ref="E418">_xlfn.TEXTJOIN(", ", TRUE(), _xlfn._xlws.FILTER(Sbcts_Rcrdngs[Subject],Sbcts_Rcrdngs[Recording]=Rcrdngs[[#This Row],[Text]],"[no subject selected in Subjects_in_Recordings]"))</f>
        <v>[no subject selected in Subjects_in_Recordings]</v>
      </c>
      <c r="F418" s="99">
        <v>44622</v>
      </c>
      <c r="G418" s="19" t="s">
        <v>209</v>
      </c>
      <c r="H418" s="49" t="s">
        <v>274</v>
      </c>
      <c r="I418" s="19" t="s">
        <v>32</v>
      </c>
      <c r="J418" s="19"/>
      <c r="K418" s="153"/>
      <c r="L418" s="61" t="s">
        <v>529</v>
      </c>
      <c r="M418" s="20" t="s">
        <v>933</v>
      </c>
      <c r="N418" s="20"/>
      <c r="O418" s="21"/>
      <c r="P418" s="21"/>
      <c r="Q418" s="21"/>
      <c r="R418" s="21"/>
      <c r="S418" s="21"/>
      <c r="T418" s="21"/>
      <c r="U418" s="20" t="s">
        <v>1052</v>
      </c>
      <c r="V418" s="22"/>
      <c r="W418" s="23"/>
      <c r="X418" s="24"/>
      <c r="Y418" s="76" t="s">
        <v>39</v>
      </c>
      <c r="Z418" s="76"/>
      <c r="AA418" s="76" t="str">
        <f ca="1">Rcrdngs[[#This Row],[Title]]&amp;"."&amp;#REF!</f>
        <v>Haouchel Harime – LF (M.66) – Free Speech (Part 3)</v>
      </c>
    </row>
    <row r="419" spans="1:27" ht="15" customHeight="1">
      <c r="A419" s="35"/>
      <c r="B419" s="27"/>
      <c r="C419" s="45"/>
      <c r="D419" s="17" t="str" cm="1">
        <f t="array" ref="D419">_xlfn.TEXTJOIN(", ", TRUE(), _xlfn._xlws.FILTER(Speakers_in_Recordings!$B$2:$B$1502,Speakers_in_Recordings!$A$2:$A$1502=Rcrdngs[[#This Row],[Text]],"[no speaker selected in Speakers_in_Recordings]"))</f>
        <v/>
      </c>
      <c r="E419" s="17" t="str" cm="1">
        <f t="array" ref="E419">_xlfn.TEXTJOIN(", ", TRUE(), _xlfn._xlws.FILTER(Sbcts_Rcrdngs[Subject],Sbcts_Rcrdngs[Recording]=Rcrdngs[[#This Row],[Text]],"[no subject selected in Subjects_in_Recordings]"))</f>
        <v/>
      </c>
      <c r="F419" s="18"/>
      <c r="G419" s="19"/>
      <c r="H419" s="19"/>
      <c r="I419" s="19"/>
      <c r="J419" s="19"/>
      <c r="K419" s="153"/>
      <c r="L419" s="61"/>
      <c r="M419" s="20"/>
      <c r="N419" s="20"/>
      <c r="O419" s="21"/>
      <c r="P419" s="21"/>
      <c r="Q419" s="21"/>
      <c r="R419" s="21"/>
      <c r="S419" s="21"/>
      <c r="T419" s="21"/>
      <c r="U419" s="20"/>
      <c r="V419" s="22"/>
      <c r="W419" s="23"/>
      <c r="X419" s="24"/>
      <c r="Y419" s="76"/>
      <c r="Z419" s="76"/>
      <c r="AA419" s="162"/>
    </row>
    <row r="420" spans="1:27" ht="15" customHeight="1">
      <c r="A420" s="139" t="s">
        <v>1063</v>
      </c>
      <c r="B420" s="27"/>
      <c r="C420" s="45" t="s">
        <v>868</v>
      </c>
      <c r="D420" s="17" t="str" cm="1">
        <f t="array" ref="D420">_xlfn.TEXTJOIN(", ", TRUE(), _xlfn._xlws.FILTER(Speakers_in_Recordings!$B$2:$B$1502,Speakers_in_Recordings!$A$2:$A$1502=Rcrdngs[[#This Row],[Text]],"[no speaker selected in Speakers_in_Recordings]"))</f>
        <v>LEB_BEK_2022_NH_M.51_Speaker1, LEB_BEK_2022_MH_M.80_Speaker2</v>
      </c>
      <c r="E420" s="17" t="str" cm="1">
        <f t="array" ref="E420">_xlfn.TEXTJOIN(", ", TRUE(), _xlfn._xlws.FILTER(Sbcts_Rcrdngs[Subject],Sbcts_Rcrdngs[Recording]=Rcrdngs[[#This Row],[Text]],"[no subject selected in Subjects_in_Recordings]"))</f>
        <v>[no subject selected in Subjects_in_Recordings]</v>
      </c>
      <c r="F420" s="99">
        <v>44624</v>
      </c>
      <c r="G420" s="19" t="s">
        <v>1064</v>
      </c>
      <c r="H420" s="140" t="s">
        <v>274</v>
      </c>
      <c r="I420" s="140" t="s">
        <v>32</v>
      </c>
      <c r="J420" s="19"/>
      <c r="K420" s="153"/>
      <c r="L420" s="61" t="s">
        <v>529</v>
      </c>
      <c r="M420" s="20" t="s">
        <v>833</v>
      </c>
      <c r="N420" s="20"/>
      <c r="O420" s="21"/>
      <c r="P420" s="21"/>
      <c r="Q420" s="21"/>
      <c r="R420" s="21"/>
      <c r="S420" s="21"/>
      <c r="T420" s="21"/>
      <c r="U420" s="20" t="s">
        <v>1065</v>
      </c>
      <c r="V420" s="22"/>
      <c r="W420" s="23"/>
      <c r="X420" s="24"/>
      <c r="Y420" s="76" t="s">
        <v>173</v>
      </c>
      <c r="Z420" s="76"/>
      <c r="AA420" s="76" t="str">
        <f ca="1">Rcrdngs[[#This Row],[Title]]&amp;"."&amp;#REF!</f>
        <v>Nabaa al-Faour – NH (M.51), MH (M 80) – Questionnaire</v>
      </c>
    </row>
    <row r="421" spans="1:27" ht="15.75" customHeight="1">
      <c r="A421" s="139" t="s">
        <v>1066</v>
      </c>
      <c r="B421" s="27"/>
      <c r="C421" s="45" t="s">
        <v>868</v>
      </c>
      <c r="D421" s="17" t="str" cm="1">
        <f t="array" ref="D421">_xlfn.TEXTJOIN(", ", TRUE(), _xlfn._xlws.FILTER(Speakers_in_Recordings!$B$2:$B$1502,Speakers_in_Recordings!$A$2:$A$1502=Rcrdngs[[#This Row],[Text]],"[no speaker selected in Speakers_in_Recordings]"))</f>
        <v>LEB_BEK_2022_NH_M.51_Speaker1, LEB_BEK_2022_MH_M.80_Speaker2</v>
      </c>
      <c r="E421" s="17" t="str" cm="1">
        <f t="array" ref="E421">_xlfn.TEXTJOIN(", ", TRUE(), _xlfn._xlws.FILTER(Sbcts_Rcrdngs[Subject],Sbcts_Rcrdngs[Recording]=Rcrdngs[[#This Row],[Text]],"[no subject selected in Subjects_in_Recordings]"))</f>
        <v>[no subject selected in Subjects_in_Recordings]</v>
      </c>
      <c r="F421" s="99">
        <v>44624</v>
      </c>
      <c r="G421" s="19" t="s">
        <v>1067</v>
      </c>
      <c r="H421" s="140" t="s">
        <v>274</v>
      </c>
      <c r="I421" s="140" t="s">
        <v>32</v>
      </c>
      <c r="J421" s="19"/>
      <c r="K421" s="153"/>
      <c r="L421" s="61" t="s">
        <v>529</v>
      </c>
      <c r="M421" s="20" t="s">
        <v>833</v>
      </c>
      <c r="N421" s="20"/>
      <c r="O421" s="21"/>
      <c r="P421" s="21"/>
      <c r="Q421" s="21"/>
      <c r="R421" s="21"/>
      <c r="S421" s="21"/>
      <c r="T421" s="21"/>
      <c r="U421" s="20" t="s">
        <v>1065</v>
      </c>
      <c r="V421" s="22"/>
      <c r="W421" s="23"/>
      <c r="X421" s="24"/>
      <c r="Y421" s="76" t="s">
        <v>39</v>
      </c>
      <c r="Z421" s="76"/>
      <c r="AA421" s="76" t="str">
        <f ca="1">Rcrdngs[[#This Row],[Title]]&amp;"."&amp;#REF!</f>
        <v>Nabaa al-Faour – NH (M.51); MH (M 80) – Free</v>
      </c>
    </row>
    <row r="422" spans="1:27" ht="15" customHeight="1">
      <c r="A422" s="84" t="s">
        <v>1068</v>
      </c>
      <c r="B422" s="27"/>
      <c r="C422" s="45" t="s">
        <v>868</v>
      </c>
      <c r="D422" s="17" t="str" cm="1">
        <f t="array" ref="D422">_xlfn.TEXTJOIN(", ", TRUE(), _xlfn._xlws.FILTER(Speakers_in_Recordings!$B$2:$B$1502,Speakers_in_Recordings!$A$2:$A$1502=Rcrdngs[[#This Row],[Text]],"[no speaker selected in Speakers_in_Recordings]"))</f>
        <v>LEB_BEK_2022_NH_M.51_Speaker1</v>
      </c>
      <c r="E422" s="17" t="str" cm="1">
        <f t="array" ref="E422">_xlfn.TEXTJOIN(", ", TRUE(), _xlfn._xlws.FILTER(Sbcts_Rcrdngs[Subject],Sbcts_Rcrdngs[Recording]=Rcrdngs[[#This Row],[Text]],"[no subject selected in Subjects_in_Recordings]"))</f>
        <v>[no subject selected in Subjects_in_Recordings]</v>
      </c>
      <c r="F422" s="99">
        <v>44624</v>
      </c>
      <c r="G422" s="19" t="s">
        <v>271</v>
      </c>
      <c r="H422" s="140" t="s">
        <v>274</v>
      </c>
      <c r="I422" s="140" t="s">
        <v>32</v>
      </c>
      <c r="J422" s="19"/>
      <c r="K422" s="153"/>
      <c r="L422" s="61" t="s">
        <v>529</v>
      </c>
      <c r="M422" s="20" t="s">
        <v>833</v>
      </c>
      <c r="N422" s="20"/>
      <c r="O422" s="21"/>
      <c r="P422" s="21"/>
      <c r="Q422" s="21"/>
      <c r="R422" s="21"/>
      <c r="S422" s="21"/>
      <c r="T422" s="21"/>
      <c r="U422" s="20" t="s">
        <v>1065</v>
      </c>
      <c r="V422" s="22"/>
      <c r="W422" s="23"/>
      <c r="X422" s="24"/>
      <c r="Y422" s="76" t="s">
        <v>1069</v>
      </c>
      <c r="Z422" s="76"/>
      <c r="AA422" s="76" t="str">
        <f ca="1">Rcrdngs[[#This Row],[Title]]&amp;"."&amp;#REF!</f>
        <v>Nabaa al-Faour – NH (M.51) – Body Parts; Free</v>
      </c>
    </row>
    <row r="423" spans="1:27" ht="15" customHeight="1">
      <c r="A423" s="84" t="s">
        <v>1070</v>
      </c>
      <c r="B423" s="27"/>
      <c r="C423" s="45" t="s">
        <v>868</v>
      </c>
      <c r="D423" s="17" t="str" cm="1">
        <f t="array" ref="D423">_xlfn.TEXTJOIN(", ", TRUE(), _xlfn._xlws.FILTER(Speakers_in_Recordings!$B$2:$B$1502,Speakers_in_Recordings!$A$2:$A$1502=Rcrdngs[[#This Row],[Text]],"[no speaker selected in Speakers_in_Recordings]"))</f>
        <v>LEB_BEK_2022_NH_M.51_Speaker1</v>
      </c>
      <c r="E423" s="17" t="str" cm="1">
        <f t="array" ref="E423">_xlfn.TEXTJOIN(", ", TRUE(), _xlfn._xlws.FILTER(Sbcts_Rcrdngs[Subject],Sbcts_Rcrdngs[Recording]=Rcrdngs[[#This Row],[Text]],"[no subject selected in Subjects_in_Recordings]"))</f>
        <v>[no subject selected in Subjects_in_Recordings]</v>
      </c>
      <c r="F423" s="99">
        <v>44624</v>
      </c>
      <c r="G423" s="19" t="s">
        <v>1071</v>
      </c>
      <c r="H423" s="140" t="s">
        <v>274</v>
      </c>
      <c r="I423" s="140" t="s">
        <v>32</v>
      </c>
      <c r="J423" s="19"/>
      <c r="K423" s="153"/>
      <c r="L423" s="61" t="s">
        <v>529</v>
      </c>
      <c r="M423" s="20" t="s">
        <v>833</v>
      </c>
      <c r="N423" s="20"/>
      <c r="O423" s="21"/>
      <c r="P423" s="21"/>
      <c r="Q423" s="21"/>
      <c r="R423" s="21"/>
      <c r="S423" s="21"/>
      <c r="T423" s="21"/>
      <c r="U423" s="20" t="s">
        <v>1065</v>
      </c>
      <c r="V423" s="22"/>
      <c r="W423" s="23"/>
      <c r="X423" s="24"/>
      <c r="Y423" s="76" t="s">
        <v>39</v>
      </c>
      <c r="Z423" s="76"/>
      <c r="AA423" s="76" t="str">
        <f ca="1">Rcrdngs[[#This Row],[Title]]&amp;"."&amp;#REF!</f>
        <v>Nabaa al-Faour – NH (M.51) – Free</v>
      </c>
    </row>
    <row r="424" spans="1:27" ht="15" customHeight="1">
      <c r="A424" s="84" t="s">
        <v>1072</v>
      </c>
      <c r="B424" s="27"/>
      <c r="C424" s="45" t="s">
        <v>868</v>
      </c>
      <c r="D424" s="17" t="str" cm="1">
        <f t="array" ref="D424">_xlfn.TEXTJOIN(", ", TRUE(), _xlfn._xlws.FILTER(Speakers_in_Recordings!$B$2:$B$1502,Speakers_in_Recordings!$A$2:$A$1502=Rcrdngs[[#This Row],[Text]],"[no speaker selected in Speakers_in_Recordings]"))</f>
        <v>LEB_BEK_2022_MH_M.80_Speaker2</v>
      </c>
      <c r="E424" s="17" t="str" cm="1">
        <f t="array" ref="E424">_xlfn.TEXTJOIN(", ", TRUE(), _xlfn._xlws.FILTER(Sbcts_Rcrdngs[Subject],Sbcts_Rcrdngs[Recording]=Rcrdngs[[#This Row],[Text]],"[no subject selected in Subjects_in_Recordings]"))</f>
        <v>[no subject selected in Subjects_in_Recordings]</v>
      </c>
      <c r="F424" s="99">
        <v>44624</v>
      </c>
      <c r="G424" s="19" t="s">
        <v>1073</v>
      </c>
      <c r="H424" s="140" t="s">
        <v>274</v>
      </c>
      <c r="I424" s="140" t="s">
        <v>32</v>
      </c>
      <c r="J424" s="19"/>
      <c r="K424" s="153"/>
      <c r="L424" s="61" t="s">
        <v>529</v>
      </c>
      <c r="M424" s="20" t="s">
        <v>833</v>
      </c>
      <c r="N424" s="20"/>
      <c r="O424" s="21"/>
      <c r="P424" s="21"/>
      <c r="Q424" s="21"/>
      <c r="R424" s="21"/>
      <c r="S424" s="21"/>
      <c r="T424" s="21"/>
      <c r="U424" s="20" t="s">
        <v>1065</v>
      </c>
      <c r="V424" s="22"/>
      <c r="W424" s="23"/>
      <c r="X424" s="24"/>
      <c r="Y424" s="76" t="s">
        <v>173</v>
      </c>
      <c r="Z424" s="76"/>
      <c r="AA424" s="76" t="str">
        <f ca="1">Rcrdngs[[#This Row],[Title]]&amp;"."&amp;#REF!</f>
        <v>Nabaa al-Faour – MH (M.80) – Questionnaire</v>
      </c>
    </row>
    <row r="425" spans="1:27" ht="15" customHeight="1">
      <c r="A425" s="84" t="s">
        <v>1074</v>
      </c>
      <c r="B425" s="27"/>
      <c r="C425" s="45" t="s">
        <v>868</v>
      </c>
      <c r="D425" s="17" t="str" cm="1">
        <f t="array" ref="D425">_xlfn.TEXTJOIN(", ", TRUE(), _xlfn._xlws.FILTER(Speakers_in_Recordings!$B$2:$B$1502,Speakers_in_Recordings!$A$2:$A$1502=Rcrdngs[[#This Row],[Text]],"[no speaker selected in Speakers_in_Recordings]"))</f>
        <v>LEB_BEK_2022_SH_F.49_Speaker3, LEB_BEK_2022_IH_F.50_Speaker4, LEB_BEK_2022_DG_F.37_Speaker5</v>
      </c>
      <c r="E425" s="17" t="str" cm="1">
        <f t="array" ref="E425">_xlfn.TEXTJOIN(", ", TRUE(), _xlfn._xlws.FILTER(Sbcts_Rcrdngs[Subject],Sbcts_Rcrdngs[Recording]=Rcrdngs[[#This Row],[Text]],"[no subject selected in Subjects_in_Recordings]"))</f>
        <v>[no subject selected in Subjects_in_Recordings]</v>
      </c>
      <c r="F425" s="99">
        <v>44624</v>
      </c>
      <c r="G425" s="19" t="s">
        <v>1075</v>
      </c>
      <c r="H425" s="19" t="s">
        <v>274</v>
      </c>
      <c r="I425" s="19" t="s">
        <v>32</v>
      </c>
      <c r="J425" s="19"/>
      <c r="K425" s="153"/>
      <c r="L425" s="61" t="s">
        <v>529</v>
      </c>
      <c r="M425" s="20" t="s">
        <v>833</v>
      </c>
      <c r="N425" s="20"/>
      <c r="O425" s="21"/>
      <c r="P425" s="21"/>
      <c r="Q425" s="21"/>
      <c r="R425" s="21"/>
      <c r="S425" s="21"/>
      <c r="T425" s="21"/>
      <c r="U425" s="20" t="s">
        <v>1065</v>
      </c>
      <c r="V425" s="22"/>
      <c r="W425" s="23"/>
      <c r="X425" s="24"/>
      <c r="Y425" s="76" t="s">
        <v>39</v>
      </c>
      <c r="Z425" s="76"/>
      <c r="AA425" s="76" t="str">
        <f ca="1">Rcrdngs[[#This Row],[Title]]&amp;"."&amp;#REF!</f>
        <v>Nabaa al-Faour – SH (49); IH (F.50); DG (F 37) – Women’s Talk</v>
      </c>
    </row>
    <row r="426" spans="1:27" ht="15" customHeight="1">
      <c r="A426" s="35"/>
      <c r="B426" s="27"/>
      <c r="C426" s="45"/>
      <c r="D426" s="17" t="str" cm="1">
        <f t="array" ref="D426">_xlfn.TEXTJOIN(", ", TRUE(), _xlfn._xlws.FILTER(Speakers_in_Recordings!$B$2:$B$1502,Speakers_in_Recordings!$A$2:$A$1502=Rcrdngs[[#This Row],[Text]],"[no speaker selected in Speakers_in_Recordings]"))</f>
        <v/>
      </c>
      <c r="E426" s="17" t="str" cm="1">
        <f t="array" ref="E426">_xlfn.TEXTJOIN(", ", TRUE(), _xlfn._xlws.FILTER(Sbcts_Rcrdngs[Subject],Sbcts_Rcrdngs[Recording]=Rcrdngs[[#This Row],[Text]],"[no subject selected in Subjects_in_Recordings]"))</f>
        <v/>
      </c>
      <c r="F426" s="18"/>
      <c r="G426" s="19"/>
      <c r="H426" s="19"/>
      <c r="I426" s="19"/>
      <c r="J426" s="19"/>
      <c r="K426" s="153"/>
      <c r="L426" s="61"/>
      <c r="M426" s="20"/>
      <c r="N426" s="20"/>
      <c r="O426" s="21"/>
      <c r="P426" s="21"/>
      <c r="Q426" s="21"/>
      <c r="R426" s="21"/>
      <c r="S426" s="21"/>
      <c r="T426" s="21"/>
      <c r="U426" s="20"/>
      <c r="V426" s="22"/>
      <c r="W426" s="23"/>
      <c r="X426" s="24"/>
      <c r="Y426" s="76"/>
      <c r="Z426" s="76"/>
      <c r="AA426" s="76" t="str">
        <f ca="1">Rcrdngs[[#This Row],[Title]]&amp;"."&amp;#REF!</f>
        <v>.</v>
      </c>
    </row>
    <row r="427" spans="1:27" ht="15" customHeight="1">
      <c r="A427" s="35" t="s">
        <v>1076</v>
      </c>
      <c r="B427" s="27"/>
      <c r="C427" s="45" t="s">
        <v>831</v>
      </c>
      <c r="D427" s="17" t="str" cm="1">
        <f t="array" ref="D427">_xlfn.TEXTJOIN(", ", TRUE(), _xlfn._xlws.FILTER(Speakers_in_Recordings!$B$2:$B$1502,Speakers_in_Recordings!$A$2:$A$1502=Rcrdngs[[#This Row],[Text]],"[no speaker selected in Speakers_in_Recordings]"))</f>
        <v>LEB_BEI_2023_WS_M.68_Speaker1, LEB_BEI_2023_HS_M.31_Speaker2</v>
      </c>
      <c r="E427" s="17" t="str" cm="1">
        <f t="array" ref="E427">_xlfn.TEXTJOIN(", ", TRUE(), _xlfn._xlws.FILTER(Sbcts_Rcrdngs[Subject],Sbcts_Rcrdngs[Recording]=Rcrdngs[[#This Row],[Text]],"[no subject selected in Subjects_in_Recordings]"))</f>
        <v>[no subject selected in Subjects_in_Recordings]</v>
      </c>
      <c r="F427" s="18">
        <v>45065</v>
      </c>
      <c r="G427" s="19" t="s">
        <v>1077</v>
      </c>
      <c r="H427" s="19" t="s">
        <v>274</v>
      </c>
      <c r="I427" s="19" t="s">
        <v>32</v>
      </c>
      <c r="J427" s="19"/>
      <c r="K427" s="153"/>
      <c r="L427" s="61" t="s">
        <v>529</v>
      </c>
      <c r="M427" s="20" t="s">
        <v>833</v>
      </c>
      <c r="N427" s="20"/>
      <c r="O427" s="21"/>
      <c r="P427" s="21"/>
      <c r="Q427" s="21"/>
      <c r="R427" s="21"/>
      <c r="S427" s="21"/>
      <c r="T427" s="21"/>
      <c r="U427" s="20" t="s">
        <v>1078</v>
      </c>
      <c r="V427" s="22"/>
      <c r="W427" s="23"/>
      <c r="X427" s="24"/>
      <c r="Y427" s="76" t="s">
        <v>39</v>
      </c>
      <c r="Z427" s="76"/>
      <c r="AA427" s="76" t="str">
        <f ca="1">Rcrdngs[[#This Row],[Title]]&amp;"."&amp;#REF!</f>
        <v>Beirut – Mazraa – WS (M.68); HS (M 31) – Free (1)</v>
      </c>
    </row>
    <row r="428" spans="1:27" ht="15" customHeight="1">
      <c r="A428" s="35" t="s">
        <v>1079</v>
      </c>
      <c r="B428" s="27"/>
      <c r="C428" s="45" t="s">
        <v>831</v>
      </c>
      <c r="D428" s="17" t="str" cm="1">
        <f t="array" ref="D428">_xlfn.TEXTJOIN(", ", TRUE(), _xlfn._xlws.FILTER(Speakers_in_Recordings!$B$2:$B$1502,Speakers_in_Recordings!$A$2:$A$1502=Rcrdngs[[#This Row],[Text]],"[no speaker selected in Speakers_in_Recordings]"))</f>
        <v>LEB_BEI_2023_WS_M.68_Speaker1, LEB_BEI_2023_HS_M.31_Speaker2</v>
      </c>
      <c r="E428" s="17" t="str" cm="1">
        <f t="array" ref="E428">_xlfn.TEXTJOIN(", ", TRUE(), _xlfn._xlws.FILTER(Sbcts_Rcrdngs[Subject],Sbcts_Rcrdngs[Recording]=Rcrdngs[[#This Row],[Text]],"[no subject selected in Subjects_in_Recordings]"))</f>
        <v>[no subject selected in Subjects_in_Recordings]</v>
      </c>
      <c r="F428" s="18">
        <v>45065</v>
      </c>
      <c r="G428" s="19" t="s">
        <v>1080</v>
      </c>
      <c r="H428" s="19" t="s">
        <v>274</v>
      </c>
      <c r="I428" s="19" t="s">
        <v>32</v>
      </c>
      <c r="J428" s="19"/>
      <c r="K428" s="153"/>
      <c r="L428" s="61" t="s">
        <v>529</v>
      </c>
      <c r="M428" s="20" t="s">
        <v>833</v>
      </c>
      <c r="N428" s="20"/>
      <c r="O428" s="21"/>
      <c r="P428" s="21"/>
      <c r="Q428" s="21"/>
      <c r="R428" s="21"/>
      <c r="S428" s="21"/>
      <c r="T428" s="21"/>
      <c r="U428" s="20" t="s">
        <v>1078</v>
      </c>
      <c r="V428" s="22"/>
      <c r="W428" s="23"/>
      <c r="X428" s="24"/>
      <c r="Y428" s="76" t="s">
        <v>39</v>
      </c>
      <c r="Z428" s="76"/>
      <c r="AA428" s="76" t="str">
        <f ca="1">Rcrdngs[[#This Row],[Title]]&amp;"."&amp;#REF!</f>
        <v>Beirut – Mazraa – WS (M.68); HS (M 31) – Free (2)</v>
      </c>
    </row>
    <row r="429" spans="1:27" ht="15" customHeight="1">
      <c r="A429" s="35"/>
      <c r="B429" s="27"/>
      <c r="C429" s="45"/>
      <c r="D429" s="17" t="str" cm="1">
        <f t="array" ref="D429">_xlfn.TEXTJOIN(", ", TRUE(), _xlfn._xlws.FILTER(Speakers_in_Recordings!$B$2:$B$1502,Speakers_in_Recordings!$A$2:$A$1502=Rcrdngs[[#This Row],[Text]],"[no speaker selected in Speakers_in_Recordings]"))</f>
        <v/>
      </c>
      <c r="E429" s="17" t="str" cm="1">
        <f t="array" ref="E429">_xlfn.TEXTJOIN(", ", TRUE(), _xlfn._xlws.FILTER(Sbcts_Rcrdngs[Subject],Sbcts_Rcrdngs[Recording]=Rcrdngs[[#This Row],[Text]],"[no subject selected in Subjects_in_Recordings]"))</f>
        <v/>
      </c>
      <c r="F429" s="18"/>
      <c r="G429" s="19"/>
      <c r="H429" s="19"/>
      <c r="I429" s="19"/>
      <c r="J429" s="19"/>
      <c r="K429" s="153"/>
      <c r="L429" s="61"/>
      <c r="M429" s="20"/>
      <c r="N429" s="20"/>
      <c r="O429" s="21"/>
      <c r="P429" s="21"/>
      <c r="Q429" s="21"/>
      <c r="R429" s="21"/>
      <c r="S429" s="21"/>
      <c r="T429" s="21"/>
      <c r="U429" s="20"/>
      <c r="V429" s="22"/>
      <c r="W429" s="23"/>
      <c r="X429" s="24"/>
      <c r="Y429" s="76"/>
      <c r="Z429" s="76"/>
      <c r="AA429" s="76" t="str">
        <f ca="1">Rcrdngs[[#This Row],[Title]]&amp;"."&amp;#REF!</f>
        <v>.</v>
      </c>
    </row>
    <row r="430" spans="1:27" ht="15" customHeight="1">
      <c r="A430" s="35" t="s">
        <v>1081</v>
      </c>
      <c r="B430" s="27"/>
      <c r="C430" s="45" t="s">
        <v>868</v>
      </c>
      <c r="D430" s="17" t="str" cm="1">
        <f t="array" ref="D430">_xlfn.TEXTJOIN(", ", TRUE(), _xlfn._xlws.FILTER(Speakers_in_Recordings!$B$2:$B$1502,Speakers_in_Recordings!$A$2:$A$1502=Rcrdngs[[#This Row],[Text]],"[no speaker selected in Speakers_in_Recordings]"))</f>
        <v>LEB_SOU_2022_SA_M.56_Speaker1, LEB_SOU_2022_FA_F.42_Speaker2</v>
      </c>
      <c r="E430" s="17" t="str" cm="1">
        <f t="array" ref="E430">_xlfn.TEXTJOIN(", ", TRUE(), _xlfn._xlws.FILTER(Sbcts_Rcrdngs[Subject],Sbcts_Rcrdngs[Recording]=Rcrdngs[[#This Row],[Text]],"[no subject selected in Subjects_in_Recordings]"))</f>
        <v>[no subject selected in Subjects_in_Recordings]</v>
      </c>
      <c r="F430" s="29">
        <v>44630</v>
      </c>
      <c r="G430" s="19" t="s">
        <v>1082</v>
      </c>
      <c r="H430" s="19" t="s">
        <v>274</v>
      </c>
      <c r="I430" s="19" t="s">
        <v>32</v>
      </c>
      <c r="J430" s="19"/>
      <c r="K430" s="153"/>
      <c r="L430" s="61" t="s">
        <v>529</v>
      </c>
      <c r="M430" s="20" t="s">
        <v>833</v>
      </c>
      <c r="N430" s="20"/>
      <c r="O430" s="21"/>
      <c r="P430" s="21"/>
      <c r="Q430" s="21"/>
      <c r="R430" s="21"/>
      <c r="S430" s="21"/>
      <c r="T430" s="21"/>
      <c r="U430" s="20" t="s">
        <v>1083</v>
      </c>
      <c r="V430" s="22"/>
      <c r="W430" s="23"/>
      <c r="X430" s="24"/>
      <c r="Y430" s="76" t="s">
        <v>39</v>
      </c>
      <c r="Z430" s="76"/>
      <c r="AA430" s="76" t="str">
        <f ca="1">Rcrdngs[[#This Row],[Title]]&amp;"."&amp;#REF!</f>
        <v>South – Bourghliyeh – SA (M.56); FA (F 42) – Free (1)</v>
      </c>
    </row>
    <row r="431" spans="1:27" ht="15" customHeight="1">
      <c r="A431" s="35" t="s">
        <v>1084</v>
      </c>
      <c r="B431" s="27"/>
      <c r="C431" s="45" t="s">
        <v>868</v>
      </c>
      <c r="D431" s="17" t="str" cm="1">
        <f t="array" ref="D431">_xlfn.TEXTJOIN(", ", TRUE(), _xlfn._xlws.FILTER(Speakers_in_Recordings!$B$2:$B$1502,Speakers_in_Recordings!$A$2:$A$1502=Rcrdngs[[#This Row],[Text]],"[no speaker selected in Speakers_in_Recordings]"))</f>
        <v>LEB_SOU_2022_SA_M.56_Speaker1, LEB_SOU_2022_FA_F.42_Speaker2</v>
      </c>
      <c r="E431" s="17" t="str" cm="1">
        <f t="array" ref="E431">_xlfn.TEXTJOIN(", ", TRUE(), _xlfn._xlws.FILTER(Sbcts_Rcrdngs[Subject],Sbcts_Rcrdngs[Recording]=Rcrdngs[[#This Row],[Text]],"[no subject selected in Subjects_in_Recordings]"))</f>
        <v>[no subject selected in Subjects_in_Recordings]</v>
      </c>
      <c r="F431" s="29">
        <v>44630</v>
      </c>
      <c r="G431" s="19" t="s">
        <v>1085</v>
      </c>
      <c r="H431" s="19" t="s">
        <v>274</v>
      </c>
      <c r="I431" s="19" t="s">
        <v>32</v>
      </c>
      <c r="J431" s="19"/>
      <c r="K431" s="153"/>
      <c r="L431" s="61" t="s">
        <v>529</v>
      </c>
      <c r="M431" s="20" t="s">
        <v>833</v>
      </c>
      <c r="N431" s="20"/>
      <c r="O431" s="21"/>
      <c r="P431" s="21"/>
      <c r="Q431" s="21"/>
      <c r="R431" s="21"/>
      <c r="S431" s="21"/>
      <c r="T431" s="21"/>
      <c r="U431" s="20" t="s">
        <v>1083</v>
      </c>
      <c r="V431" s="22"/>
      <c r="W431" s="23"/>
      <c r="X431" s="24"/>
      <c r="Y431" s="76" t="s">
        <v>39</v>
      </c>
      <c r="Z431" s="76"/>
      <c r="AA431" s="76" t="str">
        <f ca="1">Rcrdngs[[#This Row],[Title]]&amp;"."&amp;#REF!</f>
        <v>South – Bourghliyeh – SA (M.56); FA (F 42) – Free (2)</v>
      </c>
    </row>
    <row r="432" spans="1:27" ht="15" customHeight="1">
      <c r="A432" s="35" t="s">
        <v>1086</v>
      </c>
      <c r="B432" s="27"/>
      <c r="C432" s="45" t="s">
        <v>868</v>
      </c>
      <c r="D432" s="17" t="str" cm="1">
        <f t="array" ref="D432">_xlfn.TEXTJOIN(", ", TRUE(), _xlfn._xlws.FILTER(Speakers_in_Recordings!$B$2:$B$1502,Speakers_in_Recordings!$A$2:$A$1502=Rcrdngs[[#This Row],[Text]],"[no speaker selected in Speakers_in_Recordings]"))</f>
        <v>LEB_SOU_2022_NM_F.56_Speaker3</v>
      </c>
      <c r="E432" s="17" t="str" cm="1">
        <f t="array" ref="E432">_xlfn.TEXTJOIN(", ", TRUE(), _xlfn._xlws.FILTER(Sbcts_Rcrdngs[Subject],Sbcts_Rcrdngs[Recording]=Rcrdngs[[#This Row],[Text]],"[no subject selected in Subjects_in_Recordings]"))</f>
        <v>[no subject selected in Subjects_in_Recordings]</v>
      </c>
      <c r="F432" s="29">
        <v>44630</v>
      </c>
      <c r="G432" s="19" t="s">
        <v>1087</v>
      </c>
      <c r="H432" s="19" t="s">
        <v>274</v>
      </c>
      <c r="I432" s="19" t="s">
        <v>32</v>
      </c>
      <c r="J432" s="19"/>
      <c r="K432" s="153"/>
      <c r="L432" s="61" t="s">
        <v>529</v>
      </c>
      <c r="M432" s="20" t="s">
        <v>833</v>
      </c>
      <c r="N432" s="20"/>
      <c r="O432" s="21"/>
      <c r="P432" s="21"/>
      <c r="Q432" s="21"/>
      <c r="R432" s="21"/>
      <c r="S432" s="21"/>
      <c r="T432" s="21"/>
      <c r="U432" s="20" t="s">
        <v>1083</v>
      </c>
      <c r="V432" s="22"/>
      <c r="W432" s="23"/>
      <c r="X432" s="24"/>
      <c r="Y432" s="76" t="s">
        <v>39</v>
      </c>
      <c r="Z432" s="76"/>
      <c r="AA432" s="76" t="str">
        <f ca="1">Rcrdngs[[#This Row],[Title]]&amp;"."&amp;#REF!</f>
        <v>South – Bourghliyeh – NM (F.56) – Free</v>
      </c>
    </row>
    <row r="433" spans="1:27" ht="15" customHeight="1">
      <c r="A433" s="35" t="s">
        <v>1088</v>
      </c>
      <c r="B433" s="27"/>
      <c r="C433" s="45" t="s">
        <v>868</v>
      </c>
      <c r="D433" s="17" t="str" cm="1">
        <f t="array" ref="D433">_xlfn.TEXTJOIN(", ", TRUE(), _xlfn._xlws.FILTER(Speakers_in_Recordings!$B$2:$B$1502,Speakers_in_Recordings!$A$2:$A$1502=Rcrdngs[[#This Row],[Text]],"[no speaker selected in Speakers_in_Recordings]"))</f>
        <v>LEB_SOU_2022_NM_F.56_Speaker3</v>
      </c>
      <c r="E433" s="17" t="str" cm="1">
        <f t="array" ref="E433">_xlfn.TEXTJOIN(", ", TRUE(), _xlfn._xlws.FILTER(Sbcts_Rcrdngs[Subject],Sbcts_Rcrdngs[Recording]=Rcrdngs[[#This Row],[Text]],"[no subject selected in Subjects_in_Recordings]"))</f>
        <v>[no subject selected in Subjects_in_Recordings]</v>
      </c>
      <c r="F433" s="29">
        <v>44630</v>
      </c>
      <c r="G433" s="19" t="s">
        <v>1089</v>
      </c>
      <c r="H433" s="19" t="s">
        <v>274</v>
      </c>
      <c r="I433" s="19" t="s">
        <v>32</v>
      </c>
      <c r="J433" s="19"/>
      <c r="K433" s="153"/>
      <c r="L433" s="61" t="s">
        <v>529</v>
      </c>
      <c r="M433" s="20" t="s">
        <v>833</v>
      </c>
      <c r="N433" s="20"/>
      <c r="O433" s="21"/>
      <c r="P433" s="21"/>
      <c r="Q433" s="21"/>
      <c r="R433" s="21"/>
      <c r="S433" s="21"/>
      <c r="T433" s="21"/>
      <c r="U433" s="20" t="s">
        <v>1083</v>
      </c>
      <c r="V433" s="22"/>
      <c r="W433" s="23"/>
      <c r="X433" s="24"/>
      <c r="Y433" s="76" t="s">
        <v>39</v>
      </c>
      <c r="Z433" s="76"/>
      <c r="AA433" s="76" t="str">
        <f ca="1">Rcrdngs[[#This Row],[Title]]&amp;"."&amp;#REF!</f>
        <v>South – Bourghliyeh – NM (F.56) – Free (2)</v>
      </c>
    </row>
    <row r="434" spans="1:27" ht="15" customHeight="1">
      <c r="A434" s="35" t="s">
        <v>1090</v>
      </c>
      <c r="B434" s="27"/>
      <c r="C434" s="45" t="s">
        <v>868</v>
      </c>
      <c r="D434" s="17" t="str" cm="1">
        <f t="array" ref="D434">_xlfn.TEXTJOIN(", ", TRUE(), _xlfn._xlws.FILTER(Speakers_in_Recordings!$B$2:$B$1502,Speakers_in_Recordings!$A$2:$A$1502=Rcrdngs[[#This Row],[Text]],"[no speaker selected in Speakers_in_Recordings]"))</f>
        <v>LEB_SOU_2022_HK_M.57_Speaker4</v>
      </c>
      <c r="E434" s="17" t="str" cm="1">
        <f t="array" ref="E434">_xlfn.TEXTJOIN(", ", TRUE(), _xlfn._xlws.FILTER(Sbcts_Rcrdngs[Subject],Sbcts_Rcrdngs[Recording]=Rcrdngs[[#This Row],[Text]],"[no subject selected in Subjects_in_Recordings]"))</f>
        <v>[no subject selected in Subjects_in_Recordings]</v>
      </c>
      <c r="F434" s="18">
        <v>44628</v>
      </c>
      <c r="G434" s="19" t="s">
        <v>747</v>
      </c>
      <c r="H434" s="19" t="s">
        <v>274</v>
      </c>
      <c r="I434" s="19" t="s">
        <v>32</v>
      </c>
      <c r="J434" s="19"/>
      <c r="K434" s="153"/>
      <c r="L434" s="61" t="s">
        <v>529</v>
      </c>
      <c r="M434" s="20" t="s">
        <v>833</v>
      </c>
      <c r="N434" s="20"/>
      <c r="O434" s="21"/>
      <c r="P434" s="21"/>
      <c r="Q434" s="21"/>
      <c r="R434" s="21"/>
      <c r="S434" s="21"/>
      <c r="T434" s="21"/>
      <c r="U434" s="20" t="s">
        <v>1091</v>
      </c>
      <c r="V434" s="22"/>
      <c r="W434" s="23"/>
      <c r="X434" s="24"/>
      <c r="Y434" s="76" t="s">
        <v>39</v>
      </c>
      <c r="Z434" s="76"/>
      <c r="AA434" s="76" t="str">
        <f ca="1">Rcrdngs[[#This Row],[Title]]&amp;"."&amp;#REF!</f>
        <v>South – Marouahine – HK (M.57) – Free</v>
      </c>
    </row>
    <row r="435" spans="1:27" ht="15" customHeight="1">
      <c r="A435" s="35" t="s">
        <v>1092</v>
      </c>
      <c r="B435" s="27"/>
      <c r="C435" s="45" t="s">
        <v>868</v>
      </c>
      <c r="D435" s="17" t="str" cm="1">
        <f t="array" ref="D435">_xlfn.TEXTJOIN(", ", TRUE(), _xlfn._xlws.FILTER(Speakers_in_Recordings!$B$2:$B$1502,Speakers_in_Recordings!$A$2:$A$1502=Rcrdngs[[#This Row],[Text]],"[no speaker selected in Speakers_in_Recordings]"))</f>
        <v>LEB_SOU_2022_HK_M.57_Speaker5</v>
      </c>
      <c r="E435" s="17" t="str" cm="1">
        <f t="array" ref="E435">_xlfn.TEXTJOIN(", ", TRUE(), _xlfn._xlws.FILTER(Sbcts_Rcrdngs[Subject],Sbcts_Rcrdngs[Recording]=Rcrdngs[[#This Row],[Text]],"[no subject selected in Subjects_in_Recordings]"))</f>
        <v>[no subject selected in Subjects_in_Recordings]</v>
      </c>
      <c r="F435" s="18">
        <v>44628</v>
      </c>
      <c r="G435" s="19" t="s">
        <v>667</v>
      </c>
      <c r="H435" s="19" t="s">
        <v>274</v>
      </c>
      <c r="I435" s="19" t="s">
        <v>32</v>
      </c>
      <c r="J435" s="19"/>
      <c r="K435" s="153"/>
      <c r="L435" s="61" t="s">
        <v>529</v>
      </c>
      <c r="M435" s="20" t="s">
        <v>833</v>
      </c>
      <c r="N435" s="20"/>
      <c r="O435" s="21"/>
      <c r="P435" s="21"/>
      <c r="Q435" s="21"/>
      <c r="R435" s="21"/>
      <c r="S435" s="21"/>
      <c r="T435" s="21"/>
      <c r="U435" s="20" t="s">
        <v>1091</v>
      </c>
      <c r="V435" s="22"/>
      <c r="W435" s="23"/>
      <c r="X435" s="24"/>
      <c r="Y435" s="76" t="s">
        <v>39</v>
      </c>
      <c r="Z435" s="76"/>
      <c r="AA435" s="76" t="str">
        <f ca="1">Rcrdngs[[#This Row],[Title]]&amp;"."&amp;#REF!</f>
        <v>South – Marouahine – HK (M.57) – Free: Jokes</v>
      </c>
    </row>
    <row r="436" spans="1:27" ht="15" customHeight="1">
      <c r="A436" s="35" t="s">
        <v>1093</v>
      </c>
      <c r="B436" s="27"/>
      <c r="C436" s="45" t="s">
        <v>868</v>
      </c>
      <c r="D436" s="17" t="str" cm="1">
        <f t="array" ref="D436">_xlfn.TEXTJOIN(", ", TRUE(), _xlfn._xlws.FILTER(Speakers_in_Recordings!$B$2:$B$1502,Speakers_in_Recordings!$A$2:$A$1502=Rcrdngs[[#This Row],[Text]],"[no speaker selected in Speakers_in_Recordings]"))</f>
        <v>LEB_SOU_2022_HK_M.57_Speaker6</v>
      </c>
      <c r="E436" s="17" t="str" cm="1">
        <f t="array" ref="E436">_xlfn.TEXTJOIN(", ", TRUE(), _xlfn._xlws.FILTER(Sbcts_Rcrdngs[Subject],Sbcts_Rcrdngs[Recording]=Rcrdngs[[#This Row],[Text]],"[no subject selected in Subjects_in_Recordings]"))</f>
        <v>[no subject selected in Subjects_in_Recordings]</v>
      </c>
      <c r="F436" s="18">
        <v>44628</v>
      </c>
      <c r="G436" s="19" t="s">
        <v>1094</v>
      </c>
      <c r="H436" s="19" t="s">
        <v>274</v>
      </c>
      <c r="I436" s="19" t="s">
        <v>32</v>
      </c>
      <c r="J436" s="19"/>
      <c r="K436" s="153"/>
      <c r="L436" s="61" t="s">
        <v>529</v>
      </c>
      <c r="M436" s="20" t="s">
        <v>833</v>
      </c>
      <c r="N436" s="20"/>
      <c r="O436" s="21"/>
      <c r="P436" s="21"/>
      <c r="Q436" s="21"/>
      <c r="R436" s="21"/>
      <c r="S436" s="21"/>
      <c r="T436" s="21"/>
      <c r="U436" s="20" t="s">
        <v>1091</v>
      </c>
      <c r="V436" s="22"/>
      <c r="W436" s="23"/>
      <c r="X436" s="24"/>
      <c r="Y436" s="76" t="s">
        <v>173</v>
      </c>
      <c r="Z436" s="76"/>
      <c r="AA436" s="76" t="str">
        <f ca="1">Rcrdngs[[#This Row],[Title]]&amp;"."&amp;#REF!</f>
        <v>South – Marouahine – HK (M.57) – Questionnaire</v>
      </c>
    </row>
    <row r="437" spans="1:27" ht="15" customHeight="1">
      <c r="A437" s="35"/>
      <c r="B437" s="27"/>
      <c r="C437" s="45"/>
      <c r="D437" s="17" t="str" cm="1">
        <f t="array" ref="D437">_xlfn.TEXTJOIN(", ", TRUE(), _xlfn._xlws.FILTER(Speakers_in_Recordings!$B$2:$B$1502,Speakers_in_Recordings!$A$2:$A$1502=Rcrdngs[[#This Row],[Text]],"[no speaker selected in Speakers_in_Recordings]"))</f>
        <v/>
      </c>
      <c r="E437" s="17" t="str" cm="1">
        <f t="array" ref="E437">_xlfn.TEXTJOIN(", ", TRUE(), _xlfn._xlws.FILTER(Sbcts_Rcrdngs[Subject],Sbcts_Rcrdngs[Recording]=Rcrdngs[[#This Row],[Text]],"[no subject selected in Subjects_in_Recordings]"))</f>
        <v/>
      </c>
      <c r="F437" s="18"/>
      <c r="G437" s="19"/>
      <c r="H437" s="19"/>
      <c r="I437" s="19"/>
      <c r="J437" s="19"/>
      <c r="K437" s="153"/>
      <c r="L437" s="61"/>
      <c r="M437" s="20"/>
      <c r="N437" s="20"/>
      <c r="O437" s="21"/>
      <c r="P437" s="21"/>
      <c r="Q437" s="21"/>
      <c r="R437" s="21"/>
      <c r="S437" s="21"/>
      <c r="T437" s="21"/>
      <c r="U437" s="20"/>
      <c r="V437" s="22"/>
      <c r="W437" s="23"/>
      <c r="X437" s="24"/>
      <c r="Y437" s="76"/>
      <c r="Z437" s="76"/>
      <c r="AA437" s="76" t="str">
        <f ca="1">Rcrdngs[[#This Row],[Title]]&amp;"."&amp;#REF!</f>
        <v>.</v>
      </c>
    </row>
    <row r="438" spans="1:27" ht="15" customHeight="1">
      <c r="A438" s="35" t="s">
        <v>1095</v>
      </c>
      <c r="B438" s="27"/>
      <c r="C438" s="45" t="s">
        <v>868</v>
      </c>
      <c r="D438" s="17" t="str" cm="1">
        <f t="array" ref="D438">_xlfn.TEXTJOIN(", ", TRUE(), _xlfn._xlws.FILTER(Speakers_in_Recordings!$B$2:$B$1502,Speakers_in_Recordings!$A$2:$A$1502=Rcrdngs[[#This Row],[Text]],"[no speaker selected in Speakers_in_Recordings]"))</f>
        <v>LEB_SOU_2022_AM_F.65_Speaker5</v>
      </c>
      <c r="E438" s="17" t="str" cm="1">
        <f t="array" ref="E438">_xlfn.TEXTJOIN(", ", TRUE(), _xlfn._xlws.FILTER(Sbcts_Rcrdngs[Subject],Sbcts_Rcrdngs[Recording]=Rcrdngs[[#This Row],[Text]],"[no subject selected in Subjects_in_Recordings]"))</f>
        <v>[no subject selected in Subjects_in_Recordings]</v>
      </c>
      <c r="F438" s="18">
        <v>44994</v>
      </c>
      <c r="G438" s="19" t="s">
        <v>1096</v>
      </c>
      <c r="H438" s="19" t="s">
        <v>274</v>
      </c>
      <c r="I438" s="19" t="s">
        <v>32</v>
      </c>
      <c r="J438" s="19"/>
      <c r="K438" s="153"/>
      <c r="L438" s="61" t="s">
        <v>529</v>
      </c>
      <c r="M438" s="20" t="s">
        <v>833</v>
      </c>
      <c r="N438" s="20"/>
      <c r="O438" s="21"/>
      <c r="P438" s="21"/>
      <c r="Q438" s="21"/>
      <c r="R438" s="21"/>
      <c r="S438" s="21"/>
      <c r="T438" s="21"/>
      <c r="U438" s="20" t="s">
        <v>1097</v>
      </c>
      <c r="V438" s="22"/>
      <c r="W438" s="23"/>
      <c r="X438" s="24"/>
      <c r="Y438" s="76" t="s">
        <v>39</v>
      </c>
      <c r="Z438" s="76"/>
      <c r="AA438" s="76" t="str">
        <f ca="1">Rcrdngs[[#This Row],[Title]]&amp;"."&amp;#REF!</f>
        <v>Dhaira – AM (F.65) – Free</v>
      </c>
    </row>
    <row r="439" spans="1:27" ht="15" customHeight="1">
      <c r="A439" s="35" t="s">
        <v>1098</v>
      </c>
      <c r="B439" s="27"/>
      <c r="C439" s="45" t="s">
        <v>868</v>
      </c>
      <c r="D439" s="17" t="str" cm="1">
        <f t="array" ref="D439">_xlfn.TEXTJOIN(", ", TRUE(), _xlfn._xlws.FILTER(Speakers_in_Recordings!$B$2:$B$1502,Speakers_in_Recordings!$A$2:$A$1502=Rcrdngs[[#This Row],[Text]],"[no speaker selected in Speakers_in_Recordings]"))</f>
        <v>LEB_SOU_2022_AM_F.65_Speaker5</v>
      </c>
      <c r="E439" s="17" t="str" cm="1">
        <f t="array" ref="E439">_xlfn.TEXTJOIN(", ", TRUE(), _xlfn._xlws.FILTER(Sbcts_Rcrdngs[Subject],Sbcts_Rcrdngs[Recording]=Rcrdngs[[#This Row],[Text]],"[no subject selected in Subjects_in_Recordings]"))</f>
        <v>[no subject selected in Subjects_in_Recordings]</v>
      </c>
      <c r="F439" s="18">
        <v>44994</v>
      </c>
      <c r="G439" s="19" t="s">
        <v>235</v>
      </c>
      <c r="H439" s="19" t="s">
        <v>274</v>
      </c>
      <c r="I439" s="19" t="s">
        <v>32</v>
      </c>
      <c r="J439" s="19"/>
      <c r="K439" s="153"/>
      <c r="L439" s="61" t="s">
        <v>529</v>
      </c>
      <c r="M439" s="20" t="s">
        <v>833</v>
      </c>
      <c r="N439" s="20"/>
      <c r="O439" s="21"/>
      <c r="P439" s="21"/>
      <c r="Q439" s="21"/>
      <c r="R439" s="21"/>
      <c r="S439" s="21"/>
      <c r="T439" s="21"/>
      <c r="U439" s="20" t="s">
        <v>1097</v>
      </c>
      <c r="V439" s="22"/>
      <c r="W439" s="23"/>
      <c r="X439" s="24"/>
      <c r="Y439" s="76" t="s">
        <v>39</v>
      </c>
      <c r="Z439" s="76"/>
      <c r="AA439" s="76" t="str">
        <f ca="1">Rcrdngs[[#This Row],[Title]]&amp;"."&amp;#REF!</f>
        <v>Dhaira – AM (F.65) – Free (2)</v>
      </c>
    </row>
    <row r="440" spans="1:27" ht="15" customHeight="1">
      <c r="A440" s="35" t="s">
        <v>1099</v>
      </c>
      <c r="B440" s="27"/>
      <c r="C440" s="45" t="s">
        <v>868</v>
      </c>
      <c r="D440" s="17" t="str" cm="1">
        <f t="array" ref="D440">_xlfn.TEXTJOIN(", ", TRUE(), _xlfn._xlws.FILTER(Speakers_in_Recordings!$B$2:$B$1502,Speakers_in_Recordings!$A$2:$A$1502=Rcrdngs[[#This Row],[Text]],"[no speaker selected in Speakers_in_Recordings]"))</f>
        <v>LEB_SOU_2022_AM_F.65_Speaker5</v>
      </c>
      <c r="E440" s="17" t="str" cm="1">
        <f t="array" ref="E440">_xlfn.TEXTJOIN(", ", TRUE(), _xlfn._xlws.FILTER(Sbcts_Rcrdngs[Subject],Sbcts_Rcrdngs[Recording]=Rcrdngs[[#This Row],[Text]],"[no subject selected in Subjects_in_Recordings]"))</f>
        <v>[no subject selected in Subjects_in_Recordings]</v>
      </c>
      <c r="F440" s="18">
        <v>44994</v>
      </c>
      <c r="G440" s="19" t="s">
        <v>968</v>
      </c>
      <c r="H440" s="19" t="s">
        <v>274</v>
      </c>
      <c r="I440" s="19" t="s">
        <v>32</v>
      </c>
      <c r="J440" s="19"/>
      <c r="K440" s="153"/>
      <c r="L440" s="61" t="s">
        <v>529</v>
      </c>
      <c r="M440" s="20" t="s">
        <v>833</v>
      </c>
      <c r="N440" s="20"/>
      <c r="O440" s="21"/>
      <c r="P440" s="21"/>
      <c r="Q440" s="21"/>
      <c r="R440" s="21"/>
      <c r="S440" s="21"/>
      <c r="T440" s="21"/>
      <c r="U440" s="20" t="s">
        <v>1097</v>
      </c>
      <c r="V440" s="22"/>
      <c r="W440" s="23"/>
      <c r="X440" s="24"/>
      <c r="Y440" s="76" t="s">
        <v>39</v>
      </c>
      <c r="Z440" s="76"/>
      <c r="AA440" s="76" t="str">
        <f ca="1">Rcrdngs[[#This Row],[Title]]&amp;"."&amp;#REF!</f>
        <v>Dhaira – AM (F.65) – Free (3)</v>
      </c>
    </row>
    <row r="441" spans="1:27" ht="15" customHeight="1">
      <c r="A441" s="35" t="s">
        <v>1100</v>
      </c>
      <c r="B441" s="27"/>
      <c r="C441" s="45" t="s">
        <v>868</v>
      </c>
      <c r="D441" s="17" t="str" cm="1">
        <f t="array" ref="D441">_xlfn.TEXTJOIN(", ", TRUE(), _xlfn._xlws.FILTER(Speakers_in_Recordings!$B$2:$B$1502,Speakers_in_Recordings!$A$2:$A$1502=Rcrdngs[[#This Row],[Text]],"[no speaker selected in Speakers_in_Recordings]"))</f>
        <v>LEB_SOU_2022_AM_F.65_Speaker5</v>
      </c>
      <c r="E441" s="17" t="str" cm="1">
        <f t="array" ref="E441">_xlfn.TEXTJOIN(", ", TRUE(), _xlfn._xlws.FILTER(Sbcts_Rcrdngs[Subject],Sbcts_Rcrdngs[Recording]=Rcrdngs[[#This Row],[Text]],"[no subject selected in Subjects_in_Recordings]"))</f>
        <v>[no subject selected in Subjects_in_Recordings]</v>
      </c>
      <c r="F441" s="18">
        <v>44994</v>
      </c>
      <c r="G441" s="19" t="s">
        <v>1101</v>
      </c>
      <c r="H441" s="19" t="s">
        <v>274</v>
      </c>
      <c r="I441" s="19" t="s">
        <v>32</v>
      </c>
      <c r="J441" s="19"/>
      <c r="K441" s="153"/>
      <c r="L441" s="61" t="s">
        <v>529</v>
      </c>
      <c r="M441" s="20" t="s">
        <v>833</v>
      </c>
      <c r="N441" s="20"/>
      <c r="O441" s="21"/>
      <c r="P441" s="21"/>
      <c r="Q441" s="21"/>
      <c r="R441" s="21"/>
      <c r="S441" s="21"/>
      <c r="T441" s="21"/>
      <c r="U441" s="20" t="s">
        <v>1097</v>
      </c>
      <c r="V441" s="22"/>
      <c r="W441" s="23"/>
      <c r="X441" s="24"/>
      <c r="Y441" s="76" t="s">
        <v>173</v>
      </c>
      <c r="Z441" s="76"/>
      <c r="AA441" s="76" t="str">
        <f ca="1">Rcrdngs[[#This Row],[Title]]&amp;"."&amp;#REF!</f>
        <v>Dhaira – AM (F.65) – Questionnaire</v>
      </c>
    </row>
    <row r="442" spans="1:27" ht="15" customHeight="1">
      <c r="A442" s="35" t="s">
        <v>1102</v>
      </c>
      <c r="B442" s="27"/>
      <c r="C442" s="45" t="s">
        <v>868</v>
      </c>
      <c r="D442" s="17" t="str" cm="1">
        <f t="array" ref="D442">_xlfn.TEXTJOIN(", ", TRUE(), _xlfn._xlws.FILTER(Speakers_in_Recordings!$B$2:$B$1502,Speakers_in_Recordings!$A$2:$A$1502=Rcrdngs[[#This Row],[Text]],"[no speaker selected in Speakers_in_Recordings]"))</f>
        <v>LEB_SOU_2022_AM_F.65_Speaker5, LEB_SOU_2022_NA_M.37_Speaker6</v>
      </c>
      <c r="E442" s="17" t="str" cm="1">
        <f t="array" ref="E442">_xlfn.TEXTJOIN(", ", TRUE(), _xlfn._xlws.FILTER(Sbcts_Rcrdngs[Subject],Sbcts_Rcrdngs[Recording]=Rcrdngs[[#This Row],[Text]],"[no subject selected in Subjects_in_Recordings]"))</f>
        <v>[no subject selected in Subjects_in_Recordings]</v>
      </c>
      <c r="F442" s="18">
        <v>44994</v>
      </c>
      <c r="G442" s="19" t="s">
        <v>1103</v>
      </c>
      <c r="H442" s="19" t="s">
        <v>274</v>
      </c>
      <c r="I442" s="19" t="s">
        <v>32</v>
      </c>
      <c r="J442" s="19"/>
      <c r="K442" s="153"/>
      <c r="L442" s="61" t="s">
        <v>529</v>
      </c>
      <c r="M442" s="20" t="s">
        <v>833</v>
      </c>
      <c r="N442" s="20"/>
      <c r="O442" s="21"/>
      <c r="P442" s="21"/>
      <c r="Q442" s="21"/>
      <c r="R442" s="21"/>
      <c r="S442" s="21"/>
      <c r="T442" s="21"/>
      <c r="U442" s="20" t="s">
        <v>1097</v>
      </c>
      <c r="V442" s="22"/>
      <c r="W442" s="23"/>
      <c r="X442" s="24"/>
      <c r="Y442" s="76" t="s">
        <v>39</v>
      </c>
      <c r="Z442" s="76"/>
      <c r="AA442" s="76" t="str">
        <f ca="1">Rcrdngs[[#This Row],[Title]]&amp;"."&amp;#REF!</f>
        <v>Dhaira – AM (F.65), NA (M 37) – Questionnaire and Free)</v>
      </c>
    </row>
    <row r="443" spans="1:27" ht="15" customHeight="1">
      <c r="A443" s="35"/>
      <c r="B443" s="27"/>
      <c r="C443" s="45"/>
      <c r="D443" s="17" t="str" cm="1">
        <f t="array" ref="D443">_xlfn.TEXTJOIN(", ", TRUE(), _xlfn._xlws.FILTER(Speakers_in_Recordings!$B$2:$B$1502,Speakers_in_Recordings!$A$2:$A$1502=Rcrdngs[[#This Row],[Text]],"[no speaker selected in Speakers_in_Recordings]"))</f>
        <v/>
      </c>
      <c r="E443" s="17" t="str" cm="1">
        <f t="array" ref="E443">_xlfn.TEXTJOIN(", ", TRUE(), _xlfn._xlws.FILTER(Sbcts_Rcrdngs[Subject],Sbcts_Rcrdngs[Recording]=Rcrdngs[[#This Row],[Text]],"[no subject selected in Subjects_in_Recordings]"))</f>
        <v/>
      </c>
      <c r="F443" s="18"/>
      <c r="G443" s="19"/>
      <c r="H443" s="19"/>
      <c r="I443" s="19"/>
      <c r="J443" s="19"/>
      <c r="K443" s="153"/>
      <c r="L443" s="61"/>
      <c r="M443" s="20"/>
      <c r="N443" s="20"/>
      <c r="O443" s="21"/>
      <c r="P443" s="21"/>
      <c r="Q443" s="21"/>
      <c r="R443" s="21"/>
      <c r="S443" s="21"/>
      <c r="T443" s="21"/>
      <c r="U443" s="20"/>
      <c r="V443" s="22"/>
      <c r="W443" s="23"/>
      <c r="X443" s="24"/>
      <c r="Y443" s="76"/>
      <c r="Z443" s="76"/>
      <c r="AA443" s="76" t="str">
        <f ca="1">Rcrdngs[[#This Row],[Title]]&amp;"."&amp;#REF!</f>
        <v>.</v>
      </c>
    </row>
    <row r="444" spans="1:27" ht="15" customHeight="1">
      <c r="A444" s="35" t="s">
        <v>1104</v>
      </c>
      <c r="B444" s="27"/>
      <c r="C444" s="45" t="s">
        <v>868</v>
      </c>
      <c r="D444" s="17" t="str" cm="1">
        <f t="array" ref="D444">_xlfn.TEXTJOIN(", ", TRUE(), _xlfn._xlws.FILTER(Speakers_in_Recordings!$B$2:$B$1502,Speakers_in_Recordings!$A$2:$A$1502=Rcrdngs[[#This Row],[Text]],"[no speaker selected in Speakers_in_Recordings]"))</f>
        <v>LEB_QAL_2022_SM_M.87_Speaker1</v>
      </c>
      <c r="E444" s="17" t="str" cm="1">
        <f t="array" ref="E444">_xlfn.TEXTJOIN(", ", TRUE(), _xlfn._xlws.FILTER(Sbcts_Rcrdngs[Subject],Sbcts_Rcrdngs[Recording]=Rcrdngs[[#This Row],[Text]],"[no subject selected in Subjects_in_Recordings]"))</f>
        <v>[no subject selected in Subjects_in_Recordings]</v>
      </c>
      <c r="F444" s="18">
        <v>44632</v>
      </c>
      <c r="G444" s="19" t="s">
        <v>1105</v>
      </c>
      <c r="H444" s="19" t="s">
        <v>274</v>
      </c>
      <c r="I444" s="19" t="s">
        <v>32</v>
      </c>
      <c r="J444" s="19"/>
      <c r="K444" s="153"/>
      <c r="L444" s="61" t="s">
        <v>529</v>
      </c>
      <c r="M444" s="20" t="s">
        <v>833</v>
      </c>
      <c r="N444" s="20"/>
      <c r="O444" s="21"/>
      <c r="P444" s="21"/>
      <c r="Q444" s="21"/>
      <c r="R444" s="21"/>
      <c r="S444" s="21"/>
      <c r="T444" s="21"/>
      <c r="U444" s="20" t="s">
        <v>1106</v>
      </c>
      <c r="V444" s="22"/>
      <c r="W444" s="23"/>
      <c r="X444" s="24"/>
      <c r="Y444" s="76" t="s">
        <v>39</v>
      </c>
      <c r="Z444" s="76"/>
      <c r="AA444" s="76" t="str">
        <f ca="1">Rcrdngs[[#This Row],[Title]]&amp;"."&amp;#REF!</f>
        <v>Qalamun – SM (M.87) – Free</v>
      </c>
    </row>
    <row r="445" spans="1:27" ht="15" customHeight="1">
      <c r="A445" s="35" t="s">
        <v>1107</v>
      </c>
      <c r="B445" s="27"/>
      <c r="C445" s="45" t="s">
        <v>868</v>
      </c>
      <c r="D445" s="17" t="str" cm="1">
        <f t="array" ref="D445">_xlfn.TEXTJOIN(", ", TRUE(), _xlfn._xlws.FILTER(Speakers_in_Recordings!$B$2:$B$1502,Speakers_in_Recordings!$A$2:$A$1502=Rcrdngs[[#This Row],[Text]],"[no speaker selected in Speakers_in_Recordings]"))</f>
        <v>LEB_QAL_2022_SG_F.86_Speaker2</v>
      </c>
      <c r="E445" s="17" t="str" cm="1">
        <f t="array" ref="E445">_xlfn.TEXTJOIN(", ", TRUE(), _xlfn._xlws.FILTER(Sbcts_Rcrdngs[Subject],Sbcts_Rcrdngs[Recording]=Rcrdngs[[#This Row],[Text]],"[no subject selected in Subjects_in_Recordings]"))</f>
        <v>[no subject selected in Subjects_in_Recordings]</v>
      </c>
      <c r="F445" s="18">
        <v>44632</v>
      </c>
      <c r="G445" s="19" t="s">
        <v>1108</v>
      </c>
      <c r="H445" s="19" t="s">
        <v>274</v>
      </c>
      <c r="I445" s="19" t="s">
        <v>32</v>
      </c>
      <c r="J445" s="19"/>
      <c r="K445" s="153"/>
      <c r="L445" s="61" t="s">
        <v>529</v>
      </c>
      <c r="M445" s="20" t="s">
        <v>833</v>
      </c>
      <c r="N445" s="20"/>
      <c r="O445" s="21"/>
      <c r="P445" s="21"/>
      <c r="Q445" s="21"/>
      <c r="R445" s="21"/>
      <c r="S445" s="21"/>
      <c r="T445" s="21"/>
      <c r="U445" s="20" t="s">
        <v>1106</v>
      </c>
      <c r="V445" s="22"/>
      <c r="W445" s="23"/>
      <c r="X445" s="24"/>
      <c r="Y445" s="76" t="s">
        <v>39</v>
      </c>
      <c r="Z445" s="76"/>
      <c r="AA445" s="76" t="str">
        <f ca="1">Rcrdngs[[#This Row],[Title]]&amp;"."&amp;#REF!</f>
        <v>Qalamun – SG (F.86) – Free</v>
      </c>
    </row>
    <row r="446" spans="1:27" ht="15" customHeight="1">
      <c r="A446" s="35" t="s">
        <v>1109</v>
      </c>
      <c r="B446" s="27"/>
      <c r="C446" s="45" t="s">
        <v>868</v>
      </c>
      <c r="D446" s="17" t="str" cm="1">
        <f t="array" ref="D446">_xlfn.TEXTJOIN(", ", TRUE(), _xlfn._xlws.FILTER(Speakers_in_Recordings!$B$2:$B$1502,Speakers_in_Recordings!$A$2:$A$1502=Rcrdngs[[#This Row],[Text]],"[no speaker selected in Speakers_in_Recordings]"))</f>
        <v>LEB_QAL_2022_SG_F.86_Speaker2, LEB_QAL_2022_ZK_F.43_Speaker2</v>
      </c>
      <c r="E446" s="17" t="str" cm="1">
        <f t="array" ref="E446">_xlfn.TEXTJOIN(", ", TRUE(), _xlfn._xlws.FILTER(Sbcts_Rcrdngs[Subject],Sbcts_Rcrdngs[Recording]=Rcrdngs[[#This Row],[Text]],"[no subject selected in Subjects_in_Recordings]"))</f>
        <v>[no subject selected in Subjects_in_Recordings]</v>
      </c>
      <c r="F446" s="18">
        <v>44632</v>
      </c>
      <c r="G446" s="19" t="s">
        <v>711</v>
      </c>
      <c r="H446" s="19" t="s">
        <v>274</v>
      </c>
      <c r="I446" s="19" t="s">
        <v>32</v>
      </c>
      <c r="J446" s="19"/>
      <c r="K446" s="153"/>
      <c r="L446" s="61" t="s">
        <v>529</v>
      </c>
      <c r="M446" s="20" t="s">
        <v>833</v>
      </c>
      <c r="N446" s="20"/>
      <c r="O446" s="21"/>
      <c r="P446" s="21"/>
      <c r="Q446" s="21"/>
      <c r="R446" s="21"/>
      <c r="S446" s="21"/>
      <c r="T446" s="21"/>
      <c r="U446" s="20" t="s">
        <v>1106</v>
      </c>
      <c r="V446" s="22"/>
      <c r="W446" s="23"/>
      <c r="X446" s="24"/>
      <c r="Y446" s="76" t="s">
        <v>39</v>
      </c>
      <c r="Z446" s="76"/>
      <c r="AA446" s="76" t="str">
        <f ca="1">Rcrdngs[[#This Row],[Title]]&amp;"."&amp;#REF!</f>
        <v>Qalamun – SG (F.86) – Free (2)</v>
      </c>
    </row>
    <row r="447" spans="1:27" ht="15" customHeight="1">
      <c r="A447" s="35" t="s">
        <v>1110</v>
      </c>
      <c r="B447" s="27"/>
      <c r="C447" s="45" t="s">
        <v>868</v>
      </c>
      <c r="D447" s="17" t="str" cm="1">
        <f t="array" ref="D447">_xlfn.TEXTJOIN(", ", TRUE(), _xlfn._xlws.FILTER(Speakers_in_Recordings!$B$2:$B$1502,Speakers_in_Recordings!$A$2:$A$1502=Rcrdngs[[#This Row],[Text]],"[no speaker selected in Speakers_in_Recordings]"))</f>
        <v>LEB_QAL_2022_SG_F.86_Speaker2, LEB_QAL_2022_ZK_F.43_Speaker2</v>
      </c>
      <c r="E447" s="17" t="str" cm="1">
        <f t="array" ref="E447">_xlfn.TEXTJOIN(", ", TRUE(), _xlfn._xlws.FILTER(Sbcts_Rcrdngs[Subject],Sbcts_Rcrdngs[Recording]=Rcrdngs[[#This Row],[Text]],"[no subject selected in Subjects_in_Recordings]"))</f>
        <v>[no subject selected in Subjects_in_Recordings]</v>
      </c>
      <c r="F447" s="18">
        <v>44632</v>
      </c>
      <c r="G447" s="19" t="s">
        <v>1033</v>
      </c>
      <c r="H447" s="19" t="s">
        <v>274</v>
      </c>
      <c r="I447" s="19" t="s">
        <v>32</v>
      </c>
      <c r="J447" s="19"/>
      <c r="K447" s="153"/>
      <c r="L447" s="61" t="s">
        <v>529</v>
      </c>
      <c r="M447" s="20" t="s">
        <v>833</v>
      </c>
      <c r="N447" s="20"/>
      <c r="O447" s="21"/>
      <c r="P447" s="21"/>
      <c r="Q447" s="21"/>
      <c r="R447" s="21"/>
      <c r="S447" s="21"/>
      <c r="T447" s="21"/>
      <c r="U447" s="20" t="s">
        <v>1106</v>
      </c>
      <c r="V447" s="22"/>
      <c r="W447" s="23"/>
      <c r="X447" s="24"/>
      <c r="Y447" s="76" t="s">
        <v>39</v>
      </c>
      <c r="Z447" s="76"/>
      <c r="AA447" s="76" t="str">
        <f ca="1">Rcrdngs[[#This Row],[Title]]&amp;"."&amp;#REF!</f>
        <v>Qalamun – SG (F.86) – Free (3)</v>
      </c>
    </row>
    <row r="448" spans="1:27" ht="15" customHeight="1">
      <c r="A448" s="35"/>
      <c r="B448" s="27"/>
      <c r="C448" s="45"/>
      <c r="D448" s="17" t="str" cm="1">
        <f t="array" ref="D448">_xlfn.TEXTJOIN(", ", TRUE(), _xlfn._xlws.FILTER(Speakers_in_Recordings!$B$2:$B$1502,Speakers_in_Recordings!$A$2:$A$1502=Rcrdngs[[#This Row],[Text]],"[no speaker selected in Speakers_in_Recordings]"))</f>
        <v/>
      </c>
      <c r="E448" s="17" t="str" cm="1">
        <f t="array" ref="E448">_xlfn.TEXTJOIN(", ", TRUE(), _xlfn._xlws.FILTER(Sbcts_Rcrdngs[Subject],Sbcts_Rcrdngs[Recording]=Rcrdngs[[#This Row],[Text]],"[no subject selected in Subjects_in_Recordings]"))</f>
        <v/>
      </c>
      <c r="F448" s="18"/>
      <c r="G448" s="19"/>
      <c r="H448" s="19"/>
      <c r="I448" s="19"/>
      <c r="J448" s="19"/>
      <c r="K448" s="153"/>
      <c r="L448" s="61"/>
      <c r="M448" s="20"/>
      <c r="N448" s="20"/>
      <c r="O448" s="21"/>
      <c r="P448" s="21"/>
      <c r="Q448" s="21"/>
      <c r="R448" s="21"/>
      <c r="S448" s="21"/>
      <c r="T448" s="21"/>
      <c r="U448" s="20"/>
      <c r="V448" s="22"/>
      <c r="W448" s="23"/>
      <c r="X448" s="24"/>
      <c r="Y448" s="76"/>
      <c r="Z448" s="76"/>
      <c r="AA448" s="162"/>
    </row>
    <row r="449" spans="1:27" ht="15" customHeight="1">
      <c r="A449" s="82" t="s">
        <v>1111</v>
      </c>
      <c r="B449" s="27"/>
      <c r="C449" s="20" t="s">
        <v>1112</v>
      </c>
      <c r="D449" s="17" t="str" cm="1">
        <f t="array" ref="D449">_xlfn.TEXTJOIN(", ", TRUE(), _xlfn._xlws.FILTER(Speakers_in_Recordings!$B$2:$B$1502,Speakers_in_Recordings!$A$2:$A$1502=Rcrdngs[[#This Row],[Text]],"[no speaker selected in Speakers_in_Recordings]"))</f>
        <v>JOR_Bani_Saxar_HAS_M_1980s_QasrAmra, JOR_Bani_Saxar_MAK_M_1980s_RujmAshShami, AT</v>
      </c>
      <c r="E449" s="17" t="str" cm="1">
        <f t="array" ref="E449">_xlfn.TEXTJOIN(", ", TRUE(), _xlfn._xlws.FILTER(Sbcts_Rcrdngs[Subject],Sbcts_Rcrdngs[Recording]=Rcrdngs[[#This Row],[Text]],"[no subject selected in Subjects_in_Recordings]"))</f>
        <v>Tribal Traditions</v>
      </c>
      <c r="F449" s="18">
        <v>44446</v>
      </c>
      <c r="G449" s="134" t="s">
        <v>1113</v>
      </c>
      <c r="H449" s="49" t="s">
        <v>31</v>
      </c>
      <c r="I449" s="49" t="s">
        <v>32</v>
      </c>
      <c r="J449" s="49" t="s">
        <v>32</v>
      </c>
      <c r="K449" s="153" t="s">
        <v>33</v>
      </c>
      <c r="L449" s="61" t="s">
        <v>34</v>
      </c>
      <c r="M449" s="20" t="s">
        <v>1114</v>
      </c>
      <c r="N449" s="20" t="s">
        <v>1114</v>
      </c>
      <c r="O449" s="21"/>
      <c r="P449" s="21"/>
      <c r="Q449" s="20" t="s">
        <v>1114</v>
      </c>
      <c r="R449" s="21"/>
      <c r="S449" s="21"/>
      <c r="T449" s="21"/>
      <c r="U449" s="20" t="s">
        <v>1115</v>
      </c>
      <c r="V449" s="22"/>
      <c r="W449" s="23"/>
      <c r="X449" s="24"/>
      <c r="Y449" s="76" t="s">
        <v>39</v>
      </c>
      <c r="Z449" s="76"/>
      <c r="AA449" s="162" t="s">
        <v>1116</v>
      </c>
    </row>
    <row r="450" spans="1:27" ht="15" customHeight="1">
      <c r="A450" s="81" t="s">
        <v>1117</v>
      </c>
      <c r="B450" s="27"/>
      <c r="C450" s="20" t="s">
        <v>1118</v>
      </c>
      <c r="D450" s="17" t="str" cm="1">
        <f t="array" ref="D450">_xlfn.TEXTJOIN(", ", TRUE(), _xlfn._xlws.FILTER(Speakers_in_Recordings!$B$2:$B$1502,Speakers_in_Recordings!$A$2:$A$1502=Rcrdngs[[#This Row],[Text]],"[no speaker selected in Speakers_in_Recordings]"))</f>
        <v>JOR_Bani_Saxar_EAK_F_1970s_RujmAshShami, JOR_Bani_Saxar_AAK_M_1990s_RujmAshShami</v>
      </c>
      <c r="E450" s="17" t="str" cm="1">
        <f t="array" ref="E450">_xlfn.TEXTJOIN(", ", TRUE(), _xlfn._xlws.FILTER(Sbcts_Rcrdngs[Subject],Sbcts_Rcrdngs[Recording]=Rcrdngs[[#This Row],[Text]],"[no subject selected in Subjects_in_Recordings]"))</f>
        <v>Family, Marriage, Food recipees</v>
      </c>
      <c r="F450" s="18">
        <v>44701</v>
      </c>
      <c r="G450" s="133" t="s">
        <v>1119</v>
      </c>
      <c r="H450" s="49" t="s">
        <v>31</v>
      </c>
      <c r="I450" s="49" t="s">
        <v>32</v>
      </c>
      <c r="J450" s="49" t="s">
        <v>32</v>
      </c>
      <c r="K450" s="153" t="s">
        <v>33</v>
      </c>
      <c r="L450" s="31" t="s">
        <v>34</v>
      </c>
      <c r="M450" s="20" t="s">
        <v>1114</v>
      </c>
      <c r="N450" s="20" t="s">
        <v>1114</v>
      </c>
      <c r="O450" s="33"/>
      <c r="P450" s="33"/>
      <c r="Q450" s="20" t="s">
        <v>1114</v>
      </c>
      <c r="R450" s="33"/>
      <c r="S450" s="33"/>
      <c r="T450" s="33"/>
      <c r="U450" s="32" t="s">
        <v>1120</v>
      </c>
      <c r="V450" s="22"/>
      <c r="W450" s="23"/>
      <c r="X450" s="34"/>
      <c r="Y450" s="76" t="s">
        <v>39</v>
      </c>
      <c r="Z450" s="76"/>
      <c r="AA450" s="162" t="s">
        <v>1121</v>
      </c>
    </row>
    <row r="451" spans="1:27" ht="15" customHeight="1">
      <c r="A451" s="82" t="s">
        <v>1122</v>
      </c>
      <c r="B451" s="27"/>
      <c r="C451" s="20" t="s">
        <v>1118</v>
      </c>
      <c r="D451" s="17" t="str" cm="1">
        <f t="array" ref="D451">_xlfn.TEXTJOIN(", ", TRUE(), _xlfn._xlws.FILTER(Speakers_in_Recordings!$B$2:$B$1502,Speakers_in_Recordings!$A$2:$A$1502=Rcrdngs[[#This Row],[Text]],"[no speaker selected in Speakers_in_Recordings]"))</f>
        <v>JOR_Bani_Saxar_GAD_F_1940s, JOR_Bani_Saxar_FAD_M_1970s</v>
      </c>
      <c r="E451" s="17" t="str" cm="1">
        <f t="array" ref="E451">_xlfn.TEXTJOIN(", ", TRUE(), _xlfn._xlws.FILTER(Sbcts_Rcrdngs[Subject],Sbcts_Rcrdngs[Recording]=Rcrdngs[[#This Row],[Text]],"[no subject selected in Subjects_in_Recordings]"))</f>
        <v>Tribal History, Tribal Traditions</v>
      </c>
      <c r="F451" s="18">
        <v>44701</v>
      </c>
      <c r="G451" s="134" t="s">
        <v>764</v>
      </c>
      <c r="H451" s="49" t="s">
        <v>31</v>
      </c>
      <c r="I451" s="49" t="s">
        <v>32</v>
      </c>
      <c r="J451" s="49" t="s">
        <v>32</v>
      </c>
      <c r="K451" s="153" t="s">
        <v>33</v>
      </c>
      <c r="L451" s="61" t="s">
        <v>34</v>
      </c>
      <c r="M451" s="20" t="s">
        <v>1114</v>
      </c>
      <c r="N451" s="20" t="s">
        <v>1114</v>
      </c>
      <c r="O451" s="21"/>
      <c r="P451" s="21"/>
      <c r="Q451" s="20" t="s">
        <v>1114</v>
      </c>
      <c r="R451" s="21"/>
      <c r="S451" s="21"/>
      <c r="T451" s="21"/>
      <c r="U451" s="20" t="s">
        <v>1123</v>
      </c>
      <c r="V451" s="22"/>
      <c r="W451" s="23"/>
      <c r="X451" s="24"/>
      <c r="Y451" s="76" t="s">
        <v>39</v>
      </c>
      <c r="Z451" s="76"/>
      <c r="AA451" s="162" t="s">
        <v>1124</v>
      </c>
    </row>
    <row r="452" spans="1:27" ht="15" customHeight="1">
      <c r="A452" s="82" t="s">
        <v>1125</v>
      </c>
      <c r="B452" s="27"/>
      <c r="C452" s="45" t="s">
        <v>1112</v>
      </c>
      <c r="D452" s="17" t="str" cm="1">
        <f t="array" ref="D452">_xlfn.TEXTJOIN(", ", TRUE(), _xlfn._xlws.FILTER(Speakers_in_Recordings!$B$2:$B$1502,Speakers_in_Recordings!$A$2:$A$1502=Rcrdngs[[#This Row],[Text]],"[no speaker selected in Speakers_in_Recordings]"))</f>
        <v>JOR_Bani_Saxar_AAK_M_1990s_RujmAshShami, JOR_Bani_Saxar_NAK_F_1960s_RujmAshShami</v>
      </c>
      <c r="E452" s="17" t="str" cm="1">
        <f t="array" ref="E452">_xlfn.TEXTJOIN(", ", TRUE(), _xlfn._xlws.FILTER(Sbcts_Rcrdngs[Subject],Sbcts_Rcrdngs[Recording]=Rcrdngs[[#This Row],[Text]],"[no subject selected in Subjects_in_Recordings]"))</f>
        <v>Family, Stories, jokes and tales</v>
      </c>
      <c r="F452" s="18">
        <v>45181</v>
      </c>
      <c r="G452" s="134" t="s">
        <v>1126</v>
      </c>
      <c r="H452" s="49" t="s">
        <v>31</v>
      </c>
      <c r="I452" s="49" t="s">
        <v>32</v>
      </c>
      <c r="J452" s="49" t="s">
        <v>32</v>
      </c>
      <c r="K452" s="153" t="s">
        <v>33</v>
      </c>
      <c r="L452" s="61" t="s">
        <v>34</v>
      </c>
      <c r="M452" s="20" t="s">
        <v>1114</v>
      </c>
      <c r="N452" s="20" t="s">
        <v>1114</v>
      </c>
      <c r="O452" s="21"/>
      <c r="P452" s="21"/>
      <c r="Q452" s="21" t="s">
        <v>1114</v>
      </c>
      <c r="R452" s="21"/>
      <c r="S452" s="21"/>
      <c r="T452" s="21"/>
      <c r="U452" s="20" t="s">
        <v>1120</v>
      </c>
      <c r="V452" s="22"/>
      <c r="W452" s="23"/>
      <c r="X452" s="24"/>
      <c r="Y452" s="76" t="s">
        <v>39</v>
      </c>
      <c r="Z452" s="76"/>
      <c r="AA452" s="162" t="s">
        <v>1127</v>
      </c>
    </row>
    <row r="453" spans="1:27" ht="15" customHeight="1">
      <c r="A453" s="82" t="s">
        <v>1128</v>
      </c>
      <c r="B453" s="27"/>
      <c r="C453" s="45" t="s">
        <v>1118</v>
      </c>
      <c r="D453" s="17" t="str" cm="1">
        <f t="array" ref="D453">_xlfn.TEXTJOIN(", ", TRUE(), _xlfn._xlws.FILTER(Speakers_in_Recordings!$B$2:$B$1502,Speakers_in_Recordings!$A$2:$A$1502=Rcrdngs[[#This Row],[Text]],"[no speaker selected in Speakers_in_Recordings]"))</f>
        <v>JOR_Bani_Saxar_MAH_M_1980s_UmmArRasas, JOR_Bani_Saxar_AAH_M_1940s_Damxi</v>
      </c>
      <c r="E453" s="17" t="str" cm="1">
        <f t="array" ref="E453">_xlfn.TEXTJOIN(", ", TRUE(), _xlfn._xlws.FILTER(Sbcts_Rcrdngs[Subject],Sbcts_Rcrdngs[Recording]=Rcrdngs[[#This Row],[Text]],"[no subject selected in Subjects_in_Recordings]"))</f>
        <v>Tribal History, Tribal History</v>
      </c>
      <c r="F453" s="18">
        <v>44704</v>
      </c>
      <c r="G453" s="134" t="s">
        <v>1129</v>
      </c>
      <c r="H453" s="49" t="s">
        <v>31</v>
      </c>
      <c r="I453" s="49" t="s">
        <v>32</v>
      </c>
      <c r="J453" s="49" t="s">
        <v>32</v>
      </c>
      <c r="K453" s="153" t="s">
        <v>33</v>
      </c>
      <c r="L453" s="61" t="s">
        <v>34</v>
      </c>
      <c r="M453" s="20" t="s">
        <v>1114</v>
      </c>
      <c r="N453" s="20" t="s">
        <v>1114</v>
      </c>
      <c r="O453" s="21"/>
      <c r="P453" s="21"/>
      <c r="Q453" s="21" t="s">
        <v>1114</v>
      </c>
      <c r="R453" s="21"/>
      <c r="S453" s="21"/>
      <c r="T453" s="21"/>
      <c r="U453" s="20" t="s">
        <v>1130</v>
      </c>
      <c r="V453" s="22"/>
      <c r="W453" s="23"/>
      <c r="X453" s="24"/>
      <c r="Y453" s="76" t="s">
        <v>39</v>
      </c>
      <c r="Z453" s="76"/>
      <c r="AA453" s="162" t="s">
        <v>1131</v>
      </c>
    </row>
    <row r="454" spans="1:27" ht="15" customHeight="1">
      <c r="A454" s="82" t="s">
        <v>1132</v>
      </c>
      <c r="B454" s="27"/>
      <c r="C454" s="45" t="s">
        <v>1133</v>
      </c>
      <c r="D454" s="17" t="str" cm="1">
        <f t="array" ref="D454">_xlfn.TEXTJOIN(", ", TRUE(), _xlfn._xlws.FILTER(Speakers_in_Recordings!$B$2:$B$1502,Speakers_in_Recordings!$A$2:$A$1502=Rcrdngs[[#This Row],[Text]],"[no speaker selected in Speakers_in_Recordings]"))</f>
        <v>JOR_Bani_Saxar_MAH_M_1980s_UmmArRasas, JOR_Bani_Saxar_RAH_M_1970s_Nahda, JOR_Bani_Saxar_MAH_M_1980s_Nahda, AT</v>
      </c>
      <c r="E454" s="17" t="str" cm="1">
        <f t="array" ref="E454">_xlfn.TEXTJOIN(", ", TRUE(), _xlfn._xlws.FILTER(Sbcts_Rcrdngs[Subject],Sbcts_Rcrdngs[Recording]=Rcrdngs[[#This Row],[Text]],"[no subject selected in Subjects_in_Recordings]"))</f>
        <v>Questionnaire</v>
      </c>
      <c r="F454" s="18">
        <v>45185</v>
      </c>
      <c r="G454" s="134" t="s">
        <v>1134</v>
      </c>
      <c r="H454" s="49" t="s">
        <v>31</v>
      </c>
      <c r="I454" s="49" t="s">
        <v>32</v>
      </c>
      <c r="J454" s="49" t="s">
        <v>32</v>
      </c>
      <c r="K454" s="153" t="s">
        <v>33</v>
      </c>
      <c r="L454" s="61" t="s">
        <v>34</v>
      </c>
      <c r="M454" s="20" t="s">
        <v>1114</v>
      </c>
      <c r="N454" s="20" t="s">
        <v>1114</v>
      </c>
      <c r="O454" s="21"/>
      <c r="P454" s="21"/>
      <c r="Q454" s="20" t="s">
        <v>1114</v>
      </c>
      <c r="R454" s="21"/>
      <c r="S454" s="21"/>
      <c r="T454" s="21"/>
      <c r="U454" s="20" t="s">
        <v>1130</v>
      </c>
      <c r="V454" s="22"/>
      <c r="W454" s="23"/>
      <c r="X454" s="24"/>
      <c r="Y454" s="76" t="s">
        <v>87</v>
      </c>
      <c r="Z454" s="76"/>
      <c r="AA454" s="162" t="s">
        <v>1135</v>
      </c>
    </row>
    <row r="455" spans="1:27" ht="15" customHeight="1">
      <c r="A455" s="82" t="s">
        <v>1136</v>
      </c>
      <c r="B455" s="27"/>
      <c r="C455" s="45" t="s">
        <v>1133</v>
      </c>
      <c r="D455" s="17" t="str" cm="1">
        <f t="array" ref="D455">_xlfn.TEXTJOIN(", ", TRUE(), _xlfn._xlws.FILTER(Speakers_in_Recordings!$B$2:$B$1502,Speakers_in_Recordings!$A$2:$A$1502=Rcrdngs[[#This Row],[Text]],"[no speaker selected in Speakers_in_Recordings]"))</f>
        <v>JOR_Bani_Saxar_MAH_M_1980s_UmmArRasas, JOR_Bani_Saxar_RAH_M_1970s_Nahda, JOR_Bani_Saxar_MAH_M_1980s_Nahda, AT</v>
      </c>
      <c r="E455" s="17" t="str" cm="1">
        <f t="array" ref="E455">_xlfn.TEXTJOIN(", ", TRUE(), _xlfn._xlws.FILTER(Sbcts_Rcrdngs[Subject],Sbcts_Rcrdngs[Recording]=Rcrdngs[[#This Row],[Text]],"[no subject selected in Subjects_in_Recordings]"))</f>
        <v>Questionnaire</v>
      </c>
      <c r="F455" s="18">
        <v>45185</v>
      </c>
      <c r="G455" s="134" t="s">
        <v>1137</v>
      </c>
      <c r="H455" s="49" t="s">
        <v>31</v>
      </c>
      <c r="I455" s="49" t="s">
        <v>32</v>
      </c>
      <c r="J455" s="49" t="s">
        <v>32</v>
      </c>
      <c r="K455" s="153" t="s">
        <v>33</v>
      </c>
      <c r="L455" s="61" t="s">
        <v>34</v>
      </c>
      <c r="M455" s="20" t="s">
        <v>1114</v>
      </c>
      <c r="N455" s="20" t="s">
        <v>1114</v>
      </c>
      <c r="O455" s="21"/>
      <c r="P455" s="21"/>
      <c r="Q455" s="20" t="s">
        <v>1114</v>
      </c>
      <c r="R455" s="21"/>
      <c r="S455" s="21"/>
      <c r="T455" s="21"/>
      <c r="U455" s="20" t="s">
        <v>1130</v>
      </c>
      <c r="V455" s="22"/>
      <c r="W455" s="23"/>
      <c r="X455" s="24"/>
      <c r="Y455" s="76" t="s">
        <v>173</v>
      </c>
      <c r="Z455" s="76"/>
      <c r="AA455" s="162" t="s">
        <v>1138</v>
      </c>
    </row>
    <row r="456" spans="1:27" ht="15" customHeight="1">
      <c r="A456" s="82" t="s">
        <v>1139</v>
      </c>
      <c r="B456" s="27"/>
      <c r="C456" s="45" t="s">
        <v>1133</v>
      </c>
      <c r="D456" s="17" t="str" cm="1">
        <f t="array" ref="D456">_xlfn.TEXTJOIN(", ", TRUE(), _xlfn._xlws.FILTER(Speakers_in_Recordings!$B$2:$B$1502,Speakers_in_Recordings!$A$2:$A$1502=Rcrdngs[[#This Row],[Text]],"[no speaker selected in Speakers_in_Recordings]"))</f>
        <v>JOR_Bani_Saxar_MAH_M_1980s_UmmArRasas, JOR_Bani_Saxar_RAH_M_1970s_Nahda, JOR_Bani_Saxar_MAH_M_1980s_Nahda, AT</v>
      </c>
      <c r="E456" s="17" t="str" cm="1">
        <f t="array" ref="E456">_xlfn.TEXTJOIN(", ", TRUE(), _xlfn._xlws.FILTER(Sbcts_Rcrdngs[Subject],Sbcts_Rcrdngs[Recording]=Rcrdngs[[#This Row],[Text]],"[no subject selected in Subjects_in_Recordings]"))</f>
        <v>Questionnaire</v>
      </c>
      <c r="F456" s="18">
        <v>45185</v>
      </c>
      <c r="G456" s="134" t="s">
        <v>1140</v>
      </c>
      <c r="H456" s="49" t="s">
        <v>31</v>
      </c>
      <c r="I456" s="49" t="s">
        <v>32</v>
      </c>
      <c r="J456" s="49" t="s">
        <v>32</v>
      </c>
      <c r="K456" s="153" t="s">
        <v>33</v>
      </c>
      <c r="L456" s="61" t="s">
        <v>34</v>
      </c>
      <c r="M456" s="20" t="s">
        <v>1114</v>
      </c>
      <c r="N456" s="20" t="s">
        <v>1114</v>
      </c>
      <c r="O456" s="21"/>
      <c r="P456" s="21"/>
      <c r="Q456" s="20" t="s">
        <v>1114</v>
      </c>
      <c r="R456" s="21"/>
      <c r="S456" s="21"/>
      <c r="T456" s="21"/>
      <c r="U456" s="20" t="s">
        <v>1130</v>
      </c>
      <c r="V456" s="22"/>
      <c r="W456" s="23"/>
      <c r="X456" s="24"/>
      <c r="Y456" s="76" t="s">
        <v>173</v>
      </c>
      <c r="Z456" s="76"/>
      <c r="AA456" s="162" t="s">
        <v>1141</v>
      </c>
    </row>
    <row r="457" spans="1:27" ht="15" customHeight="1">
      <c r="A457" s="35" t="s">
        <v>1142</v>
      </c>
      <c r="B457" s="27"/>
      <c r="C457" s="45" t="s">
        <v>1118</v>
      </c>
      <c r="D457" s="17" t="str" cm="1">
        <f t="array" ref="D457">_xlfn.TEXTJOIN(", ", TRUE(), _xlfn._xlws.FILTER(Speakers_in_Recordings!$B$2:$B$1502,Speakers_in_Recordings!$A$2:$A$1502=Rcrdngs[[#This Row],[Text]],"[no speaker selected in Speakers_in_Recordings]"))</f>
        <v>JOR_Bani_Saxar_EAK_F_1970s_RujmAshShami, JOR_Bani_Saxar_K_M_1960s_RujmAshShami, JOR_Bani_Saxar_AAK_M_1990s_RujmAshShami</v>
      </c>
      <c r="E457" s="17" t="str" cm="1">
        <f t="array" ref="E457">_xlfn.TEXTJOIN(", ", TRUE(), _xlfn._xlws.FILTER(Sbcts_Rcrdngs[Subject],Sbcts_Rcrdngs[Recording]=Rcrdngs[[#This Row],[Text]],"[no subject selected in Subjects_in_Recordings]"))</f>
        <v>Questionnaire</v>
      </c>
      <c r="F457" s="18">
        <v>44706</v>
      </c>
      <c r="G457" s="134" t="s">
        <v>1143</v>
      </c>
      <c r="H457" s="49" t="s">
        <v>274</v>
      </c>
      <c r="I457" s="49" t="s">
        <v>32</v>
      </c>
      <c r="J457" s="49"/>
      <c r="K457" s="153"/>
      <c r="L457" s="61"/>
      <c r="M457" s="20" t="s">
        <v>1114</v>
      </c>
      <c r="N457" s="20"/>
      <c r="O457" s="21"/>
      <c r="P457" s="21"/>
      <c r="Q457" s="21"/>
      <c r="R457" s="21"/>
      <c r="S457" s="21"/>
      <c r="T457" s="21"/>
      <c r="U457" s="20" t="s">
        <v>1120</v>
      </c>
      <c r="V457" s="22"/>
      <c r="W457" s="23"/>
      <c r="X457" s="24" t="s">
        <v>1144</v>
      </c>
      <c r="Y457" s="76" t="s">
        <v>39</v>
      </c>
      <c r="Z457" s="76"/>
      <c r="AA457" s="162" t="s">
        <v>1145</v>
      </c>
    </row>
    <row r="458" spans="1:27" ht="15" customHeight="1">
      <c r="A458" s="35" t="s">
        <v>1146</v>
      </c>
      <c r="B458" s="27"/>
      <c r="C458" s="45" t="s">
        <v>1118</v>
      </c>
      <c r="D458" s="17" t="str" cm="1">
        <f t="array" ref="D458">_xlfn.TEXTJOIN(", ", TRUE(), _xlfn._xlws.FILTER(Speakers_in_Recordings!$B$2:$B$1502,Speakers_in_Recordings!$A$2:$A$1502=Rcrdngs[[#This Row],[Text]],"[no speaker selected in Speakers_in_Recordings]"))</f>
        <v>JOR_Bani_Saxar_EAK_F_1970s_RujmAshShami, JOR_Bani_Saxar_AAK_M_1990s_RujmAshShami, JOR_Bani_Saxar_K_M_1960s_RujmAshShami</v>
      </c>
      <c r="E458" s="17" t="str" cm="1">
        <f t="array" ref="E458">_xlfn.TEXTJOIN(", ", TRUE(), _xlfn._xlws.FILTER(Sbcts_Rcrdngs[Subject],Sbcts_Rcrdngs[Recording]=Rcrdngs[[#This Row],[Text]],"[no subject selected in Subjects_in_Recordings]"))</f>
        <v>Questionnaire</v>
      </c>
      <c r="F458" s="18">
        <v>44706</v>
      </c>
      <c r="G458" s="134" t="s">
        <v>1147</v>
      </c>
      <c r="H458" s="49" t="s">
        <v>274</v>
      </c>
      <c r="I458" s="49" t="s">
        <v>32</v>
      </c>
      <c r="J458" s="49"/>
      <c r="K458" s="153"/>
      <c r="L458" s="61"/>
      <c r="M458" s="20" t="s">
        <v>1114</v>
      </c>
      <c r="N458" s="20"/>
      <c r="O458" s="21"/>
      <c r="P458" s="21"/>
      <c r="Q458" s="21"/>
      <c r="R458" s="21"/>
      <c r="S458" s="21"/>
      <c r="T458" s="21"/>
      <c r="U458" s="20" t="s">
        <v>1120</v>
      </c>
      <c r="V458" s="22"/>
      <c r="W458" s="23"/>
      <c r="X458" s="24" t="s">
        <v>1144</v>
      </c>
      <c r="Y458" s="76" t="s">
        <v>39</v>
      </c>
      <c r="Z458" s="76"/>
      <c r="AA458" s="162" t="s">
        <v>1148</v>
      </c>
    </row>
    <row r="459" spans="1:27" ht="15" customHeight="1">
      <c r="A459" s="35" t="s">
        <v>1149</v>
      </c>
      <c r="B459" s="27"/>
      <c r="C459" s="45" t="s">
        <v>1118</v>
      </c>
      <c r="D459" s="17" t="str" cm="1">
        <f t="array" ref="D459">_xlfn.TEXTJOIN(", ", TRUE(), _xlfn._xlws.FILTER(Speakers_in_Recordings!$B$2:$B$1502,Speakers_in_Recordings!$A$2:$A$1502=Rcrdngs[[#This Row],[Text]],"[no speaker selected in Speakers_in_Recordings]"))</f>
        <v>JOR_Bani_Saxar_EAK_F_1970s_RujmAshShami, JOR_Bani_Saxar_AAK_M_1990s_RujmAshShami, JOR_Bani_Saxar_K_M_1960s_RujmAshShami</v>
      </c>
      <c r="E459" s="17" t="str" cm="1">
        <f t="array" ref="E459">_xlfn.TEXTJOIN(", ", TRUE(), _xlfn._xlws.FILTER(Sbcts_Rcrdngs[Subject],Sbcts_Rcrdngs[Recording]=Rcrdngs[[#This Row],[Text]],"[no subject selected in Subjects_in_Recordings]"))</f>
        <v>Questionnaire</v>
      </c>
      <c r="F459" s="18">
        <v>44706</v>
      </c>
      <c r="G459" s="134" t="s">
        <v>105</v>
      </c>
      <c r="H459" s="49" t="s">
        <v>274</v>
      </c>
      <c r="I459" s="49" t="s">
        <v>32</v>
      </c>
      <c r="J459" s="49"/>
      <c r="K459" s="153"/>
      <c r="L459" s="61"/>
      <c r="M459" s="20" t="s">
        <v>1114</v>
      </c>
      <c r="N459" s="20"/>
      <c r="O459" s="21"/>
      <c r="P459" s="21"/>
      <c r="Q459" s="21"/>
      <c r="R459" s="21"/>
      <c r="S459" s="21"/>
      <c r="T459" s="21"/>
      <c r="U459" s="20" t="s">
        <v>1120</v>
      </c>
      <c r="V459" s="22"/>
      <c r="W459" s="23"/>
      <c r="X459" s="24" t="s">
        <v>1144</v>
      </c>
      <c r="Y459" s="76" t="s">
        <v>173</v>
      </c>
      <c r="Z459" s="76"/>
      <c r="AA459" s="162" t="s">
        <v>1150</v>
      </c>
    </row>
    <row r="460" spans="1:27" ht="15" customHeight="1">
      <c r="A460" s="35" t="s">
        <v>1151</v>
      </c>
      <c r="B460" s="27"/>
      <c r="C460" s="45" t="s">
        <v>1118</v>
      </c>
      <c r="D460" s="17" t="str" cm="1">
        <f t="array" ref="D460">_xlfn.TEXTJOIN(", ", TRUE(), _xlfn._xlws.FILTER(Speakers_in_Recordings!$B$2:$B$1502,Speakers_in_Recordings!$A$2:$A$1502=Rcrdngs[[#This Row],[Text]],"[no speaker selected in Speakers_in_Recordings]"))</f>
        <v>JOR_Bani_Saxar_AAK_M_1990s_RujmAshShami, JOR_Bani_Saxar_EAK_F_1970s_RujmAshShami, JOR_Bani_Saxar_K_M_1960s_RujmAshShami</v>
      </c>
      <c r="E460" s="17" t="str" cm="1">
        <f t="array" ref="E460">_xlfn.TEXTJOIN(", ", TRUE(), _xlfn._xlws.FILTER(Sbcts_Rcrdngs[Subject],Sbcts_Rcrdngs[Recording]=Rcrdngs[[#This Row],[Text]],"[no subject selected in Subjects_in_Recordings]"))</f>
        <v>Questionnaire</v>
      </c>
      <c r="F460" s="18">
        <v>44706</v>
      </c>
      <c r="G460" s="134" t="s">
        <v>1152</v>
      </c>
      <c r="H460" s="49" t="s">
        <v>274</v>
      </c>
      <c r="I460" s="49" t="s">
        <v>32</v>
      </c>
      <c r="J460" s="49"/>
      <c r="K460" s="153"/>
      <c r="L460" s="61"/>
      <c r="M460" s="20" t="s">
        <v>1114</v>
      </c>
      <c r="N460" s="20"/>
      <c r="O460" s="21"/>
      <c r="P460" s="21"/>
      <c r="Q460" s="21"/>
      <c r="R460" s="21"/>
      <c r="S460" s="21"/>
      <c r="T460" s="21"/>
      <c r="U460" s="20" t="s">
        <v>1120</v>
      </c>
      <c r="V460" s="22"/>
      <c r="W460" s="23"/>
      <c r="X460" s="24" t="s">
        <v>1144</v>
      </c>
      <c r="Y460" s="76" t="s">
        <v>173</v>
      </c>
      <c r="Z460" s="76"/>
      <c r="AA460" s="162" t="s">
        <v>1153</v>
      </c>
    </row>
    <row r="461" spans="1:27" ht="15" customHeight="1">
      <c r="A461" s="35" t="s">
        <v>1154</v>
      </c>
      <c r="B461" s="27"/>
      <c r="C461" s="45" t="s">
        <v>1118</v>
      </c>
      <c r="D461" s="17" t="str" cm="1">
        <f t="array" ref="D461">_xlfn.TEXTJOIN(", ", TRUE(), _xlfn._xlws.FILTER(Speakers_in_Recordings!$B$2:$B$1502,Speakers_in_Recordings!$A$2:$A$1502=Rcrdngs[[#This Row],[Text]],"[no speaker selected in Speakers_in_Recordings]"))</f>
        <v>JOR_Bani_Saxar_EAK_F_1970s_RujmAshShami, JOR_Bani_Saxar_AAK_M_1990s_RujmAshShami, JOR_Bani_Saxar_K_M_1960s_RujmAshShami</v>
      </c>
      <c r="E461" s="17" t="str" cm="1">
        <f t="array" ref="E461">_xlfn.TEXTJOIN(", ", TRUE(), _xlfn._xlws.FILTER(Sbcts_Rcrdngs[Subject],Sbcts_Rcrdngs[Recording]=Rcrdngs[[#This Row],[Text]],"[no subject selected in Subjects_in_Recordings]"))</f>
        <v>Questionnaire</v>
      </c>
      <c r="F461" s="18">
        <v>44706</v>
      </c>
      <c r="G461" s="134" t="s">
        <v>1155</v>
      </c>
      <c r="H461" s="49" t="s">
        <v>274</v>
      </c>
      <c r="I461" s="49" t="s">
        <v>32</v>
      </c>
      <c r="J461" s="49"/>
      <c r="K461" s="153"/>
      <c r="L461" s="61"/>
      <c r="M461" s="20" t="s">
        <v>1114</v>
      </c>
      <c r="N461" s="20"/>
      <c r="O461" s="21"/>
      <c r="P461" s="21"/>
      <c r="Q461" s="21"/>
      <c r="R461" s="21"/>
      <c r="S461" s="21"/>
      <c r="T461" s="21"/>
      <c r="U461" s="20" t="s">
        <v>1120</v>
      </c>
      <c r="V461" s="22"/>
      <c r="W461" s="23"/>
      <c r="X461" s="24" t="s">
        <v>1144</v>
      </c>
      <c r="Y461" s="76" t="s">
        <v>173</v>
      </c>
      <c r="Z461" s="76"/>
      <c r="AA461" s="162" t="s">
        <v>1156</v>
      </c>
    </row>
    <row r="462" spans="1:27" ht="15" customHeight="1">
      <c r="A462" s="109" t="s">
        <v>1157</v>
      </c>
      <c r="B462" s="85" t="s">
        <v>1158</v>
      </c>
      <c r="C462" s="45" t="s">
        <v>1133</v>
      </c>
      <c r="D462" s="17" t="str" cm="1">
        <f t="array" ref="D462">_xlfn.TEXTJOIN(", ", TRUE(), _xlfn._xlws.FILTER(Speakers_in_Recordings!$B$2:$B$1502,Speakers_in_Recordings!$A$2:$A$1502=Rcrdngs[[#This Row],[Text]],"[no speaker selected in Speakers_in_Recordings]"))</f>
        <v>JOR_Bani_Saxar_AAZ_F_1990s_Nitl, JOR_Bani_Saxar_IAZ_F_1990s_Nitl, AT</v>
      </c>
      <c r="E462" s="17" t="str" cm="1">
        <f t="array" ref="E462">_xlfn.TEXTJOIN(", ", TRUE(), _xlfn._xlws.FILTER(Sbcts_Rcrdngs[Subject],Sbcts_Rcrdngs[Recording]=Rcrdngs[[#This Row],[Text]],"[no subject selected in Subjects_in_Recordings]"))</f>
        <v>Lexicon, Grammar</v>
      </c>
      <c r="F462" s="18">
        <v>45189</v>
      </c>
      <c r="G462" s="134" t="s">
        <v>1159</v>
      </c>
      <c r="H462" s="49" t="s">
        <v>31</v>
      </c>
      <c r="I462" s="49" t="s">
        <v>46</v>
      </c>
      <c r="J462" s="49" t="s">
        <v>32</v>
      </c>
      <c r="K462" s="153" t="s">
        <v>33</v>
      </c>
      <c r="L462" s="61" t="s">
        <v>34</v>
      </c>
      <c r="M462" s="20" t="s">
        <v>1114</v>
      </c>
      <c r="N462" s="20" t="s">
        <v>1114</v>
      </c>
      <c r="O462" s="21"/>
      <c r="P462" s="21"/>
      <c r="Q462" s="20" t="s">
        <v>1114</v>
      </c>
      <c r="R462" s="21"/>
      <c r="S462" s="21"/>
      <c r="T462" s="21"/>
      <c r="U462" s="20" t="s">
        <v>1123</v>
      </c>
      <c r="V462" s="22"/>
      <c r="W462" s="23"/>
      <c r="X462" s="24"/>
      <c r="Y462" s="76" t="s">
        <v>173</v>
      </c>
      <c r="Z462" s="76"/>
      <c r="AA462" s="162" t="s">
        <v>1160</v>
      </c>
    </row>
    <row r="463" spans="1:27" ht="15" customHeight="1">
      <c r="A463" s="109" t="s">
        <v>1161</v>
      </c>
      <c r="B463" s="85" t="s">
        <v>1158</v>
      </c>
      <c r="C463" s="45" t="s">
        <v>1133</v>
      </c>
      <c r="D463" s="17" t="str" cm="1">
        <f t="array" ref="D463">_xlfn.TEXTJOIN(", ", TRUE(), _xlfn._xlws.FILTER(Speakers_in_Recordings!$B$2:$B$1502,Speakers_in_Recordings!$A$2:$A$1502=Rcrdngs[[#This Row],[Text]],"[no speaker selected in Speakers_in_Recordings]"))</f>
        <v>JOR_Bani_Saxar_AAZ_F_1990s_Nitl, JOR_Bani_Saxar_IAZ_F_1990s_Nitl, AT, JOR_Bani_Saxar_AZ_F_2000s_Nitl</v>
      </c>
      <c r="E463" s="17" t="str" cm="1">
        <f t="array" ref="E463">_xlfn.TEXTJOIN(", ", TRUE(), _xlfn._xlws.FILTER(Sbcts_Rcrdngs[Subject],Sbcts_Rcrdngs[Recording]=Rcrdngs[[#This Row],[Text]],"[no subject selected in Subjects_in_Recordings]"))</f>
        <v>Grammar, Lexicon</v>
      </c>
      <c r="F463" s="18">
        <v>45189</v>
      </c>
      <c r="G463" s="134" t="s">
        <v>1162</v>
      </c>
      <c r="H463" s="49" t="s">
        <v>31</v>
      </c>
      <c r="I463" s="49" t="s">
        <v>46</v>
      </c>
      <c r="J463" s="49" t="s">
        <v>32</v>
      </c>
      <c r="K463" s="153" t="s">
        <v>33</v>
      </c>
      <c r="L463" s="61" t="s">
        <v>34</v>
      </c>
      <c r="M463" s="20" t="s">
        <v>1114</v>
      </c>
      <c r="N463" s="20" t="s">
        <v>1114</v>
      </c>
      <c r="O463" s="21"/>
      <c r="P463" s="21"/>
      <c r="Q463" s="20" t="s">
        <v>1114</v>
      </c>
      <c r="R463" s="21"/>
      <c r="S463" s="21"/>
      <c r="T463" s="21"/>
      <c r="U463" s="20" t="s">
        <v>1123</v>
      </c>
      <c r="V463" s="22"/>
      <c r="W463" s="23"/>
      <c r="X463" s="24"/>
      <c r="Y463" s="76" t="s">
        <v>87</v>
      </c>
      <c r="Z463" s="76"/>
      <c r="AA463" s="162" t="s">
        <v>1163</v>
      </c>
    </row>
    <row r="464" spans="1:27" ht="15" customHeight="1">
      <c r="A464" s="84" t="s">
        <v>1164</v>
      </c>
      <c r="B464" s="85" t="s">
        <v>1158</v>
      </c>
      <c r="C464" s="20" t="s">
        <v>1112</v>
      </c>
      <c r="D464" s="17" t="str" cm="1">
        <f t="array" ref="D464">_xlfn.TEXTJOIN(", ", TRUE(), _xlfn._xlws.FILTER(Speakers_in_Recordings!$B$2:$B$1502,Speakers_in_Recordings!$A$2:$A$1502=Rcrdngs[[#This Row],[Text]],"[no speaker selected in Speakers_in_Recordings]"))</f>
        <v>JOR_Bani_Saxar_AAK_M_1990s_RujmAshShami, JOR_Bani_Saxar_EAK_F_1970s_RujmAshShami, JOR_Bani_Saxar_NAK_F_1960s_RujmAshShami</v>
      </c>
      <c r="E464" s="17" t="str" cm="1">
        <f t="array" ref="E464">_xlfn.TEXTJOIN(", ", TRUE(), _xlfn._xlws.FILTER(Sbcts_Rcrdngs[Subject],Sbcts_Rcrdngs[Recording]=Rcrdngs[[#This Row],[Text]],"[no subject selected in Subjects_in_Recordings]"))</f>
        <v>Bedouin tents, Marriage</v>
      </c>
      <c r="F464" s="18">
        <v>44447</v>
      </c>
      <c r="G464" s="134" t="s">
        <v>1165</v>
      </c>
      <c r="H464" s="49" t="s">
        <v>274</v>
      </c>
      <c r="I464" s="49" t="s">
        <v>32</v>
      </c>
      <c r="J464" s="49"/>
      <c r="K464" s="153"/>
      <c r="L464" s="61"/>
      <c r="M464" s="20" t="s">
        <v>1114</v>
      </c>
      <c r="N464" s="20"/>
      <c r="O464" s="21"/>
      <c r="P464" s="21"/>
      <c r="Q464" s="21"/>
      <c r="R464" s="21"/>
      <c r="S464" s="21"/>
      <c r="T464" s="21"/>
      <c r="U464" s="20" t="s">
        <v>1120</v>
      </c>
      <c r="V464" s="22"/>
      <c r="W464" s="23"/>
      <c r="X464" s="24" t="s">
        <v>1144</v>
      </c>
      <c r="Y464" s="76" t="s">
        <v>39</v>
      </c>
      <c r="Z464" s="76"/>
      <c r="AA464" s="162" t="s">
        <v>1166</v>
      </c>
    </row>
    <row r="465" spans="1:27" ht="15" customHeight="1">
      <c r="A465" s="84" t="s">
        <v>1167</v>
      </c>
      <c r="B465" s="85" t="s">
        <v>1158</v>
      </c>
      <c r="C465" s="20" t="s">
        <v>1112</v>
      </c>
      <c r="D465" s="17" t="str" cm="1">
        <f t="array" ref="D465">_xlfn.TEXTJOIN(", ", TRUE(), _xlfn._xlws.FILTER(Speakers_in_Recordings!$B$2:$B$1502,Speakers_in_Recordings!$A$2:$A$1502=Rcrdngs[[#This Row],[Text]],"[no speaker selected in Speakers_in_Recordings]"))</f>
        <v>JOR_Bani_Saxar_AAS_M_1990s, JOR_Bani_Saxar_AD_M_1980s</v>
      </c>
      <c r="E465" s="17" t="str" cm="1">
        <f t="array" ref="E465">_xlfn.TEXTJOIN(", ", TRUE(), _xlfn._xlws.FILTER(Sbcts_Rcrdngs[Subject],Sbcts_Rcrdngs[Recording]=Rcrdngs[[#This Row],[Text]],"[no subject selected in Subjects_in_Recordings]"))</f>
        <v>Tribal History, Tribal History</v>
      </c>
      <c r="F465" s="18">
        <v>44449</v>
      </c>
      <c r="G465" s="134" t="s">
        <v>1168</v>
      </c>
      <c r="H465" s="49" t="s">
        <v>274</v>
      </c>
      <c r="I465" s="49" t="s">
        <v>32</v>
      </c>
      <c r="J465" s="49"/>
      <c r="K465" s="153"/>
      <c r="L465" s="61"/>
      <c r="M465" s="20" t="s">
        <v>1114</v>
      </c>
      <c r="N465" s="20"/>
      <c r="O465" s="21"/>
      <c r="P465" s="21"/>
      <c r="Q465" s="21"/>
      <c r="R465" s="21"/>
      <c r="S465" s="21"/>
      <c r="T465" s="21"/>
      <c r="U465" s="20" t="s">
        <v>520</v>
      </c>
      <c r="V465" s="22"/>
      <c r="W465" s="23"/>
      <c r="X465" s="24" t="s">
        <v>1144</v>
      </c>
      <c r="Y465" s="76" t="s">
        <v>39</v>
      </c>
      <c r="Z465" s="76"/>
      <c r="AA465" s="162" t="s">
        <v>1169</v>
      </c>
    </row>
    <row r="466" spans="1:27" ht="15" customHeight="1">
      <c r="A466" s="86" t="s">
        <v>1170</v>
      </c>
      <c r="B466" s="85" t="s">
        <v>1158</v>
      </c>
      <c r="C466" s="45" t="s">
        <v>1133</v>
      </c>
      <c r="D466" s="17" t="str" cm="1">
        <f t="array" ref="D466">_xlfn.TEXTJOIN(", ", TRUE(), _xlfn._xlws.FILTER(Speakers_in_Recordings!$B$2:$B$1502,Speakers_in_Recordings!$A$2:$A$1502=Rcrdngs[[#This Row],[Text]],"[no speaker selected in Speakers_in_Recordings]"))</f>
        <v>JOR_Bani_Saxar_HAS_M_1980s_QasrAmra</v>
      </c>
      <c r="E466" s="17" t="str" cm="1">
        <f t="array" ref="E466">_xlfn.TEXTJOIN(", ", TRUE(), _xlfn._xlws.FILTER(Sbcts_Rcrdngs[Subject],Sbcts_Rcrdngs[Recording]=Rcrdngs[[#This Row],[Text]],"[no subject selected in Subjects_in_Recordings]"))</f>
        <v>Stories, jokes and tales</v>
      </c>
      <c r="F466" s="18">
        <v>45194</v>
      </c>
      <c r="G466" s="134" t="s">
        <v>1171</v>
      </c>
      <c r="H466" s="49" t="s">
        <v>274</v>
      </c>
      <c r="I466" s="49" t="s">
        <v>32</v>
      </c>
      <c r="J466" s="49"/>
      <c r="K466" s="153"/>
      <c r="L466" s="61"/>
      <c r="M466" s="20" t="s">
        <v>1114</v>
      </c>
      <c r="N466" s="20"/>
      <c r="O466" s="21"/>
      <c r="P466" s="21"/>
      <c r="Q466" s="21"/>
      <c r="R466" s="21"/>
      <c r="S466" s="21"/>
      <c r="T466" s="21"/>
      <c r="U466" s="20" t="s">
        <v>1115</v>
      </c>
      <c r="V466" s="22"/>
      <c r="W466" s="23"/>
      <c r="X466" s="24"/>
      <c r="Y466" s="76" t="s">
        <v>39</v>
      </c>
      <c r="Z466" s="76"/>
      <c r="AA466" s="162" t="s">
        <v>1172</v>
      </c>
    </row>
    <row r="467" spans="1:27" ht="15" customHeight="1">
      <c r="A467" s="86" t="s">
        <v>1173</v>
      </c>
      <c r="B467" s="98"/>
      <c r="C467" s="45" t="s">
        <v>1133</v>
      </c>
      <c r="D467" s="17" t="str" cm="1">
        <f t="array" ref="D467">_xlfn.TEXTJOIN(", ", TRUE(), _xlfn._xlws.FILTER(Speakers_in_Recordings!$B$2:$B$1502,Speakers_in_Recordings!$A$2:$A$1502=Rcrdngs[[#This Row],[Text]],"[no speaker selected in Speakers_in_Recordings]"))</f>
        <v>JOR_Bani_Saxar_UMM_F_1970S_Dleyla, JOR_Bani_Saxar_UMaM_F_1970S_Dleyla, JOR_Bani_Saxar_UAM_F_1940S_Dleyla, AT</v>
      </c>
      <c r="E467" s="17" t="str" cm="1">
        <f t="array" ref="E467">_xlfn.TEXTJOIN(", ", TRUE(), _xlfn._xlws.FILTER(Sbcts_Rcrdngs[Subject],Sbcts_Rcrdngs[Recording]=Rcrdngs[[#This Row],[Text]],"[no subject selected in Subjects_in_Recordings]"))</f>
        <v>Stories, jokes and tales, Food recipees</v>
      </c>
      <c r="F467" s="18">
        <v>45194</v>
      </c>
      <c r="G467" s="134" t="s">
        <v>1174</v>
      </c>
      <c r="H467" s="49" t="s">
        <v>274</v>
      </c>
      <c r="I467" s="49" t="s">
        <v>32</v>
      </c>
      <c r="J467" s="49"/>
      <c r="K467" s="153"/>
      <c r="L467" s="61"/>
      <c r="M467" s="20" t="s">
        <v>1114</v>
      </c>
      <c r="N467" s="20"/>
      <c r="O467" s="21"/>
      <c r="P467" s="21"/>
      <c r="Q467" s="21"/>
      <c r="R467" s="21"/>
      <c r="S467" s="21"/>
      <c r="T467" s="21"/>
      <c r="U467" s="20" t="s">
        <v>1123</v>
      </c>
      <c r="V467" s="22"/>
      <c r="W467" s="23"/>
      <c r="X467" s="24" t="s">
        <v>1144</v>
      </c>
      <c r="Y467" s="76" t="s">
        <v>39</v>
      </c>
      <c r="Z467" s="76"/>
      <c r="AA467" s="162" t="s">
        <v>1175</v>
      </c>
    </row>
    <row r="468" spans="1:27" ht="15" customHeight="1">
      <c r="A468" s="110" t="s">
        <v>1176</v>
      </c>
      <c r="B468" s="85" t="s">
        <v>1158</v>
      </c>
      <c r="C468" s="45" t="s">
        <v>1133</v>
      </c>
      <c r="D468" s="17" t="str" cm="1">
        <f t="array" ref="D468">_xlfn.TEXTJOIN(", ", TRUE(), _xlfn._xlws.FILTER(Speakers_in_Recordings!$B$2:$B$1502,Speakers_in_Recordings!$A$2:$A$1502=Rcrdngs[[#This Row],[Text]],"[no speaker selected in Speakers_in_Recordings]"))</f>
        <v>JOR_Bani_Saxar_W1_F_Zeben, JOR_Bani_Saxar_W2_F_Zeben, JOR_Bani_Saxar_W3_F_Zeben, JOR_Bani_Saxar_RAZ_M_1990s_Amman</v>
      </c>
      <c r="E468" s="17" t="str" cm="1">
        <f t="array" ref="E468">_xlfn.TEXTJOIN(", ", TRUE(), _xlfn._xlws.FILTER(Sbcts_Rcrdngs[Subject],Sbcts_Rcrdngs[Recording]=Rcrdngs[[#This Row],[Text]],"[no subject selected in Subjects_in_Recordings]"))</f>
        <v>Stories, jokes and tales, Stories, jokes and tales</v>
      </c>
      <c r="F468" s="18">
        <v>45194</v>
      </c>
      <c r="G468" s="134" t="s">
        <v>1177</v>
      </c>
      <c r="H468" s="49" t="s">
        <v>31</v>
      </c>
      <c r="I468" s="49" t="s">
        <v>32</v>
      </c>
      <c r="J468" s="49" t="s">
        <v>32</v>
      </c>
      <c r="K468" s="153" t="s">
        <v>33</v>
      </c>
      <c r="L468" s="61" t="s">
        <v>34</v>
      </c>
      <c r="M468" s="20" t="s">
        <v>1114</v>
      </c>
      <c r="N468" s="20" t="s">
        <v>1114</v>
      </c>
      <c r="O468" s="21"/>
      <c r="P468" s="21"/>
      <c r="Q468" s="21"/>
      <c r="R468" s="21"/>
      <c r="S468" s="21"/>
      <c r="T468" s="21"/>
      <c r="U468" s="20" t="s">
        <v>1123</v>
      </c>
      <c r="V468" s="22" t="s">
        <v>1178</v>
      </c>
      <c r="W468" s="23"/>
      <c r="X468" s="24" t="s">
        <v>1144</v>
      </c>
      <c r="Y468" s="76" t="s">
        <v>39</v>
      </c>
      <c r="Z468" s="76"/>
      <c r="AA468" s="162" t="s">
        <v>1179</v>
      </c>
    </row>
    <row r="469" spans="1:27" ht="15" customHeight="1">
      <c r="A469" s="86" t="s">
        <v>1180</v>
      </c>
      <c r="B469" s="85" t="s">
        <v>1158</v>
      </c>
      <c r="C469" s="45" t="s">
        <v>1133</v>
      </c>
      <c r="D469" s="17" t="str" cm="1">
        <f t="array" ref="D469">_xlfn.TEXTJOIN(", ", TRUE(), _xlfn._xlws.FILTER(Speakers_in_Recordings!$B$2:$B$1502,Speakers_in_Recordings!$A$2:$A$1502=Rcrdngs[[#This Row],[Text]],"[no speaker selected in Speakers_in_Recordings]"))</f>
        <v>JOR_Bani_Saxar_M_Irbid, AT</v>
      </c>
      <c r="E469" s="17" t="str" cm="1">
        <f t="array" ref="E469">_xlfn.TEXTJOIN(", ", TRUE(), _xlfn._xlws.FILTER(Sbcts_Rcrdngs[Subject],Sbcts_Rcrdngs[Recording]=Rcrdngs[[#This Row],[Text]],"[no subject selected in Subjects_in_Recordings]"))</f>
        <v>Tribal Traditions, Stories, jokes and tales</v>
      </c>
      <c r="F469" s="18">
        <v>45202</v>
      </c>
      <c r="G469" s="134" t="s">
        <v>1181</v>
      </c>
      <c r="H469" s="49" t="s">
        <v>274</v>
      </c>
      <c r="I469" s="49" t="s">
        <v>32</v>
      </c>
      <c r="J469" s="49"/>
      <c r="K469" s="153"/>
      <c r="L469" s="61"/>
      <c r="M469" s="20" t="s">
        <v>1114</v>
      </c>
      <c r="N469" s="20"/>
      <c r="O469" s="21"/>
      <c r="P469" s="21"/>
      <c r="Q469" s="21"/>
      <c r="R469" s="21"/>
      <c r="S469" s="21"/>
      <c r="T469" s="21"/>
      <c r="U469" s="20" t="s">
        <v>1182</v>
      </c>
      <c r="V469" s="22" t="s">
        <v>1183</v>
      </c>
      <c r="W469" s="23"/>
      <c r="X469" s="24"/>
      <c r="Y469" s="76" t="s">
        <v>39</v>
      </c>
      <c r="Z469" s="76"/>
      <c r="AA469" s="162" t="s">
        <v>1184</v>
      </c>
    </row>
    <row r="470" spans="1:27" ht="15" customHeight="1">
      <c r="A470" s="86" t="s">
        <v>1185</v>
      </c>
      <c r="B470" s="85" t="s">
        <v>1158</v>
      </c>
      <c r="C470" s="45" t="s">
        <v>1133</v>
      </c>
      <c r="D470" s="17" t="str" cm="1">
        <f t="array" ref="D470">_xlfn.TEXTJOIN(", ", TRUE(), _xlfn._xlws.FILTER(Speakers_in_Recordings!$B$2:$B$1502,Speakers_in_Recordings!$A$2:$A$1502=Rcrdngs[[#This Row],[Text]],"[no speaker selected in Speakers_in_Recordings]"))</f>
        <v>JOR_Bani_Saxar_MH_F_1990s_Msetba, JOR_Bani_Saxar_H_F_1940s_Msetba, JOR_Bani_Saxar_H_F_1950s_Msetba, AT</v>
      </c>
      <c r="E470" s="17" t="str" cm="1">
        <f t="array" ref="E470">_xlfn.TEXTJOIN(", ", TRUE(), _xlfn._xlws.FILTER(Sbcts_Rcrdngs[Subject],Sbcts_Rcrdngs[Recording]=Rcrdngs[[#This Row],[Text]],"[no subject selected in Subjects_in_Recordings]"))</f>
        <v>Food recipees, Stories, jokes and tales</v>
      </c>
      <c r="F470" s="18">
        <v>45202</v>
      </c>
      <c r="G470" s="134" t="s">
        <v>1186</v>
      </c>
      <c r="H470" s="49" t="s">
        <v>274</v>
      </c>
      <c r="I470" s="49" t="s">
        <v>32</v>
      </c>
      <c r="J470" s="49"/>
      <c r="K470" s="153"/>
      <c r="L470" s="61"/>
      <c r="M470" s="20" t="s">
        <v>1114</v>
      </c>
      <c r="N470" s="20"/>
      <c r="O470" s="21"/>
      <c r="P470" s="21"/>
      <c r="Q470" s="21"/>
      <c r="R470" s="21"/>
      <c r="S470" s="21"/>
      <c r="T470" s="21"/>
      <c r="U470" s="20" t="s">
        <v>1130</v>
      </c>
      <c r="V470" s="22"/>
      <c r="W470" s="23"/>
      <c r="X470" s="24" t="s">
        <v>1144</v>
      </c>
      <c r="Y470" s="76" t="s">
        <v>39</v>
      </c>
      <c r="Z470" s="76"/>
      <c r="AA470" s="162" t="s">
        <v>1187</v>
      </c>
    </row>
    <row r="471" spans="1:27" ht="15" customHeight="1">
      <c r="A471" s="35"/>
      <c r="B471" s="27"/>
      <c r="C471" s="45"/>
      <c r="D471" s="17" t="str" cm="1">
        <f t="array" ref="D471">_xlfn.TEXTJOIN(", ", TRUE(), _xlfn._xlws.FILTER(Speakers_in_Recordings!$B$2:$B$1502,Speakers_in_Recordings!$A$2:$A$1502=Rcrdngs[[#This Row],[Text]],"[no speaker selected in Speakers_in_Recordings]"))</f>
        <v/>
      </c>
      <c r="E471" s="17" t="str" cm="1">
        <f t="array" ref="E471">_xlfn.TEXTJOIN(", ", TRUE(), _xlfn._xlws.FILTER(Sbcts_Rcrdngs[Subject],Sbcts_Rcrdngs[Recording]=Rcrdngs[[#This Row],[Text]],"[no subject selected in Subjects_in_Recordings]"))</f>
        <v/>
      </c>
      <c r="F471" s="18"/>
      <c r="G471" s="19"/>
      <c r="H471" s="19"/>
      <c r="I471" s="19"/>
      <c r="J471" s="19"/>
      <c r="K471" s="153"/>
      <c r="L471" s="61"/>
      <c r="M471" s="20"/>
      <c r="N471" s="20"/>
      <c r="O471" s="21"/>
      <c r="P471" s="21"/>
      <c r="Q471" s="21"/>
      <c r="R471" s="21"/>
      <c r="S471" s="21"/>
      <c r="T471" s="21"/>
      <c r="U471" s="20"/>
      <c r="V471" s="22"/>
      <c r="W471" s="23"/>
      <c r="X471" s="24"/>
      <c r="Y471" s="76"/>
      <c r="Z471" s="76"/>
      <c r="AA471" s="162"/>
    </row>
    <row r="472" spans="1:27" ht="16.5" customHeight="1">
      <c r="A472" s="35"/>
      <c r="B472" s="27"/>
      <c r="C472" s="45"/>
      <c r="D472" s="17" t="str" cm="1">
        <f t="array" ref="D472">_xlfn.TEXTJOIN(", ", TRUE(), _xlfn._xlws.FILTER(Speakers_in_Recordings!$B$2:$B$1502,Speakers_in_Recordings!$A$2:$A$1502=Rcrdngs[[#This Row],[Text]],"[no speaker selected in Speakers_in_Recordings]"))</f>
        <v/>
      </c>
      <c r="E472" s="17" t="str" cm="1">
        <f t="array" ref="E472">_xlfn.TEXTJOIN(", ", TRUE(), _xlfn._xlws.FILTER(Sbcts_Rcrdngs[Subject],Sbcts_Rcrdngs[Recording]=Rcrdngs[[#This Row],[Text]],"[no subject selected in Subjects_in_Recordings]"))</f>
        <v/>
      </c>
      <c r="F472" s="18"/>
      <c r="G472" s="19"/>
      <c r="H472" s="19"/>
      <c r="I472" s="19"/>
      <c r="J472" s="19"/>
      <c r="K472" s="153"/>
      <c r="L472" s="61"/>
      <c r="M472" s="20"/>
      <c r="N472" s="20"/>
      <c r="O472" s="21"/>
      <c r="P472" s="21"/>
      <c r="Q472" s="21"/>
      <c r="R472" s="21"/>
      <c r="S472" s="21"/>
      <c r="T472" s="21"/>
      <c r="U472" s="20"/>
      <c r="V472" s="22"/>
      <c r="W472" s="23"/>
      <c r="X472" s="24"/>
      <c r="Y472" s="76"/>
      <c r="Z472" s="76"/>
      <c r="AA472" s="162"/>
    </row>
    <row r="473" spans="1:27" ht="15" customHeight="1">
      <c r="A473" s="27" t="s">
        <v>1188</v>
      </c>
      <c r="B473" s="27"/>
      <c r="C473" s="28" t="s">
        <v>1189</v>
      </c>
      <c r="D473" s="17" t="str" cm="1">
        <f t="array" ref="D473">_xlfn.TEXTJOIN(", ", TRUE(), _xlfn._xlws.FILTER(Speakers_in_Recordings!$B$2:$B$1502,Speakers_in_Recordings!$A$2:$A$1502=Rcrdngs[[#This Row],[Text]],"[no speaker selected in Speakers_in_Recordings]"))</f>
        <v>MOR_Shawiya_BM_F.80</v>
      </c>
      <c r="E473" s="17" t="str" cm="1">
        <f t="array" ref="E473">_xlfn.TEXTJOIN(", ", TRUE(), _xlfn._xlws.FILTER(Sbcts_Rcrdngs[Subject],Sbcts_Rcrdngs[Recording]=Rcrdngs[[#This Row],[Text]],"[no subject selected in Subjects_in_Recordings]"))</f>
        <v>Agriculture</v>
      </c>
      <c r="F473" s="29">
        <v>44598</v>
      </c>
      <c r="G473" s="30" t="s">
        <v>200</v>
      </c>
      <c r="H473" s="19" t="s">
        <v>31</v>
      </c>
      <c r="I473" s="19" t="s">
        <v>46</v>
      </c>
      <c r="J473" s="30" t="s">
        <v>46</v>
      </c>
      <c r="K473" s="153"/>
      <c r="L473" s="31" t="s">
        <v>34</v>
      </c>
      <c r="M473" s="20" t="s">
        <v>1190</v>
      </c>
      <c r="N473" s="20" t="s">
        <v>1190</v>
      </c>
      <c r="O473" s="33"/>
      <c r="P473" s="33"/>
      <c r="Q473" s="20" t="s">
        <v>1190</v>
      </c>
      <c r="R473" s="33"/>
      <c r="S473" s="33"/>
      <c r="T473" s="33"/>
      <c r="U473" s="32" t="s">
        <v>1191</v>
      </c>
      <c r="V473" s="22"/>
      <c r="W473" s="23"/>
      <c r="X473" s="34"/>
      <c r="Y473" s="76" t="s">
        <v>39</v>
      </c>
      <c r="Z473" s="76"/>
      <c r="AA473" s="162" t="s">
        <v>1192</v>
      </c>
    </row>
    <row r="474" spans="1:27" ht="15" customHeight="1">
      <c r="A474" s="27" t="s">
        <v>1193</v>
      </c>
      <c r="B474" s="27"/>
      <c r="C474" s="28" t="s">
        <v>1189</v>
      </c>
      <c r="D474" s="17" t="str" cm="1">
        <f t="array" ref="D474">_xlfn.TEXTJOIN(", ", TRUE(), _xlfn._xlws.FILTER(Speakers_in_Recordings!$B$2:$B$1502,Speakers_in_Recordings!$A$2:$A$1502=Rcrdngs[[#This Row],[Text]],"[no speaker selected in Speakers_in_Recordings]"))</f>
        <v>MOR_Shawiya_BM_F.80</v>
      </c>
      <c r="E474" s="17" t="str" cm="1">
        <f t="array" ref="E474">_xlfn.TEXTJOIN(", ", TRUE(), _xlfn._xlws.FILTER(Sbcts_Rcrdngs[Subject],Sbcts_Rcrdngs[Recording]=Rcrdngs[[#This Row],[Text]],"[no subject selected in Subjects_in_Recordings]"))</f>
        <v>Childhood</v>
      </c>
      <c r="F474" s="29">
        <v>44599</v>
      </c>
      <c r="G474" s="30" t="s">
        <v>1194</v>
      </c>
      <c r="H474" s="19" t="s">
        <v>31</v>
      </c>
      <c r="I474" s="19" t="s">
        <v>46</v>
      </c>
      <c r="J474" s="30" t="s">
        <v>46</v>
      </c>
      <c r="K474" s="153"/>
      <c r="L474" s="31" t="s">
        <v>34</v>
      </c>
      <c r="M474" s="20" t="s">
        <v>1190</v>
      </c>
      <c r="N474" s="20" t="s">
        <v>1190</v>
      </c>
      <c r="O474" s="33"/>
      <c r="P474" s="33"/>
      <c r="Q474" s="20" t="s">
        <v>1190</v>
      </c>
      <c r="R474" s="33"/>
      <c r="S474" s="33"/>
      <c r="T474" s="33"/>
      <c r="U474" s="32" t="s">
        <v>1191</v>
      </c>
      <c r="V474" s="22"/>
      <c r="W474" s="23"/>
      <c r="X474" s="34"/>
      <c r="Y474" s="76" t="s">
        <v>39</v>
      </c>
      <c r="Z474" s="76"/>
      <c r="AA474" s="162" t="s">
        <v>1195</v>
      </c>
    </row>
    <row r="475" spans="1:27" ht="15" customHeight="1">
      <c r="A475" s="27" t="s">
        <v>1196</v>
      </c>
      <c r="B475" s="27"/>
      <c r="C475" s="28" t="s">
        <v>1189</v>
      </c>
      <c r="D475" s="17" t="str" cm="1">
        <f t="array" ref="D475">_xlfn.TEXTJOIN(", ", TRUE(), _xlfn._xlws.FILTER(Speakers_in_Recordings!$B$2:$B$1502,Speakers_in_Recordings!$A$2:$A$1502=Rcrdngs[[#This Row],[Text]],"[no speaker selected in Speakers_in_Recordings]"))</f>
        <v>MOR_Shawiya_BM_F.50</v>
      </c>
      <c r="E475" s="17" t="str" cm="1">
        <f t="array" ref="E475">_xlfn.TEXTJOIN(", ", TRUE(), _xlfn._xlws.FILTER(Sbcts_Rcrdngs[Subject],Sbcts_Rcrdngs[Recording]=Rcrdngs[[#This Row],[Text]],"[no subject selected in Subjects_in_Recordings]"))</f>
        <v>Feasts</v>
      </c>
      <c r="F475" s="29">
        <v>44599</v>
      </c>
      <c r="G475" s="30" t="s">
        <v>90</v>
      </c>
      <c r="H475" s="19" t="s">
        <v>31</v>
      </c>
      <c r="I475" s="19" t="s">
        <v>46</v>
      </c>
      <c r="J475" s="30" t="s">
        <v>46</v>
      </c>
      <c r="K475" s="153"/>
      <c r="L475" s="31" t="s">
        <v>34</v>
      </c>
      <c r="M475" s="20" t="s">
        <v>1190</v>
      </c>
      <c r="N475" s="20" t="s">
        <v>1190</v>
      </c>
      <c r="O475" s="33"/>
      <c r="P475" s="33"/>
      <c r="Q475" s="20" t="s">
        <v>1190</v>
      </c>
      <c r="R475" s="33"/>
      <c r="S475" s="33"/>
      <c r="T475" s="33"/>
      <c r="U475" s="32" t="s">
        <v>1191</v>
      </c>
      <c r="V475" s="22"/>
      <c r="W475" s="23"/>
      <c r="X475" s="34"/>
      <c r="Y475" s="76" t="s">
        <v>39</v>
      </c>
      <c r="Z475" s="76"/>
      <c r="AA475" s="162" t="s">
        <v>1197</v>
      </c>
    </row>
    <row r="476" spans="1:27" ht="15" customHeight="1">
      <c r="A476" s="27" t="s">
        <v>1198</v>
      </c>
      <c r="B476" s="27"/>
      <c r="C476" s="45" t="s">
        <v>1189</v>
      </c>
      <c r="D476" s="17" t="str" cm="1">
        <f t="array" ref="D476">_xlfn.TEXTJOIN(", ", TRUE(), _xlfn._xlws.FILTER(Speakers_in_Recordings!$B$2:$B$1502,Speakers_in_Recordings!$A$2:$A$1502=Rcrdngs[[#This Row],[Text]],"[no speaker selected in Speakers_in_Recordings]"))</f>
        <v>MOR_Zaer_AA_F.50</v>
      </c>
      <c r="E476" s="17" t="str" cm="1">
        <f t="array" ref="E476">_xlfn.TEXTJOIN(", ", TRUE(), _xlfn._xlws.FILTER(Sbcts_Rcrdngs[Subject],Sbcts_Rcrdngs[Recording]=Rcrdngs[[#This Row],[Text]],"[no subject selected in Subjects_in_Recordings]"))</f>
        <v>Tribal Traditions</v>
      </c>
      <c r="F476" s="29">
        <v>44602</v>
      </c>
      <c r="G476" s="19" t="s">
        <v>1199</v>
      </c>
      <c r="H476" s="19" t="s">
        <v>31</v>
      </c>
      <c r="I476" s="19" t="s">
        <v>46</v>
      </c>
      <c r="J476" s="30" t="s">
        <v>46</v>
      </c>
      <c r="K476" s="153"/>
      <c r="L476" s="61" t="s">
        <v>34</v>
      </c>
      <c r="M476" s="20" t="s">
        <v>1190</v>
      </c>
      <c r="N476" s="20" t="s">
        <v>1190</v>
      </c>
      <c r="O476" s="21"/>
      <c r="P476" s="21"/>
      <c r="Q476" s="21" t="s">
        <v>1190</v>
      </c>
      <c r="R476" s="21"/>
      <c r="S476" s="21"/>
      <c r="T476" s="21"/>
      <c r="U476" s="20"/>
      <c r="V476" s="22"/>
      <c r="W476" s="23"/>
      <c r="X476" s="24"/>
      <c r="Y476" s="76" t="s">
        <v>39</v>
      </c>
      <c r="Z476" s="76"/>
      <c r="AA476" s="162" t="s">
        <v>1200</v>
      </c>
    </row>
    <row r="477" spans="1:27" ht="15" customHeight="1">
      <c r="A477" s="27" t="s">
        <v>1201</v>
      </c>
      <c r="B477" s="27"/>
      <c r="C477" s="28" t="s">
        <v>1189</v>
      </c>
      <c r="D477" s="17" t="str" cm="1">
        <f t="array" ref="D477">_xlfn.TEXTJOIN(", ", TRUE(), _xlfn._xlws.FILTER(Speakers_in_Recordings!$B$2:$B$1502,Speakers_in_Recordings!$A$2:$A$1502=Rcrdngs[[#This Row],[Text]],"[no speaker selected in Speakers_in_Recordings]"))</f>
        <v>MOR_Zaer_AA_M.40</v>
      </c>
      <c r="E477" s="17" t="str" cm="1">
        <f t="array" ref="E477">_xlfn.TEXTJOIN(", ", TRUE(), _xlfn._xlws.FILTER(Sbcts_Rcrdngs[Subject],Sbcts_Rcrdngs[Recording]=Rcrdngs[[#This Row],[Text]],"[no subject selected in Subjects_in_Recordings]"))</f>
        <v>Agriculture</v>
      </c>
      <c r="F477" s="29">
        <v>44599</v>
      </c>
      <c r="G477" s="30" t="s">
        <v>1202</v>
      </c>
      <c r="H477" s="19" t="s">
        <v>31</v>
      </c>
      <c r="I477" s="19" t="s">
        <v>46</v>
      </c>
      <c r="J477" s="30" t="s">
        <v>46</v>
      </c>
      <c r="K477" s="153"/>
      <c r="L477" s="31" t="s">
        <v>34</v>
      </c>
      <c r="M477" s="20" t="s">
        <v>1190</v>
      </c>
      <c r="N477" s="20" t="s">
        <v>1190</v>
      </c>
      <c r="O477" s="33"/>
      <c r="P477" s="33"/>
      <c r="Q477" s="20" t="s">
        <v>1190</v>
      </c>
      <c r="R477" s="33"/>
      <c r="S477" s="33"/>
      <c r="T477" s="33"/>
      <c r="U477" s="32" t="s">
        <v>1191</v>
      </c>
      <c r="V477" s="22"/>
      <c r="W477" s="23"/>
      <c r="X477" s="34"/>
      <c r="Y477" s="76" t="s">
        <v>39</v>
      </c>
      <c r="Z477" s="76"/>
      <c r="AA477" s="162" t="s">
        <v>1203</v>
      </c>
    </row>
    <row r="478" spans="1:27" ht="15" customHeight="1">
      <c r="A478" s="27" t="s">
        <v>1204</v>
      </c>
      <c r="B478" s="27"/>
      <c r="C478" s="28" t="s">
        <v>1205</v>
      </c>
      <c r="D478" s="17" t="str" cm="1">
        <f t="array" ref="D478">_xlfn.TEXTJOIN(", ", TRUE(), _xlfn._xlws.FILTER(Speakers_in_Recordings!$B$2:$B$1502,Speakers_in_Recordings!$A$2:$A$1502=Rcrdngs[[#This Row],[Text]],"[no speaker selected in Speakers_in_Recordings]"))</f>
        <v>MOR_Shawiya_BM_55.F_speaker2</v>
      </c>
      <c r="E478" s="17" t="str" cm="1">
        <f t="array" ref="E478">_xlfn.TEXTJOIN(", ", TRUE(), _xlfn._xlws.FILTER(Sbcts_Rcrdngs[Subject],Sbcts_Rcrdngs[Recording]=Rcrdngs[[#This Row],[Text]],"[no subject selected in Subjects_in_Recordings]"))</f>
        <v>Oral literature - Poetry</v>
      </c>
      <c r="F478" s="18">
        <v>45007</v>
      </c>
      <c r="G478" s="30" t="s">
        <v>1206</v>
      </c>
      <c r="H478" s="19" t="s">
        <v>31</v>
      </c>
      <c r="I478" s="19" t="s">
        <v>46</v>
      </c>
      <c r="J478" s="30" t="s">
        <v>46</v>
      </c>
      <c r="K478" s="153"/>
      <c r="L478" s="31" t="s">
        <v>34</v>
      </c>
      <c r="M478" s="20" t="s">
        <v>1190</v>
      </c>
      <c r="N478" s="20" t="s">
        <v>1190</v>
      </c>
      <c r="O478" s="33"/>
      <c r="P478" s="33"/>
      <c r="Q478" s="20" t="s">
        <v>1190</v>
      </c>
      <c r="R478" s="33"/>
      <c r="S478" s="33"/>
      <c r="T478" s="33"/>
      <c r="U478" s="32" t="s">
        <v>1191</v>
      </c>
      <c r="V478" s="22"/>
      <c r="W478" s="23"/>
      <c r="X478" s="34"/>
      <c r="Y478" s="76" t="s">
        <v>39</v>
      </c>
      <c r="Z478" s="76"/>
      <c r="AA478" s="162" t="s">
        <v>1207</v>
      </c>
    </row>
    <row r="479" spans="1:27" ht="15" customHeight="1">
      <c r="A479" s="27" t="s">
        <v>1208</v>
      </c>
      <c r="B479" s="27"/>
      <c r="C479" s="28" t="s">
        <v>1205</v>
      </c>
      <c r="D479" s="17" t="str" cm="1">
        <f t="array" ref="D479">_xlfn.TEXTJOIN(", ", TRUE(), _xlfn._xlws.FILTER(Speakers_in_Recordings!$B$2:$B$1502,Speakers_in_Recordings!$A$2:$A$1502=Rcrdngs[[#This Row],[Text]],"[no speaker selected in Speakers_in_Recordings]"))</f>
        <v xml:space="preserve">MOR_Z_F_70.F </v>
      </c>
      <c r="E479" s="17" t="str" cm="1">
        <f t="array" ref="E479">_xlfn.TEXTJOIN(", ", TRUE(), _xlfn._xlws.FILTER(Sbcts_Rcrdngs[Subject],Sbcts_Rcrdngs[Recording]=Rcrdngs[[#This Row],[Text]],"[no subject selected in Subjects_in_Recordings]"))</f>
        <v>Daily life</v>
      </c>
      <c r="F479" s="18">
        <v>45398</v>
      </c>
      <c r="G479" s="19" t="s">
        <v>483</v>
      </c>
      <c r="H479" s="19" t="s">
        <v>31</v>
      </c>
      <c r="I479" s="19" t="s">
        <v>46</v>
      </c>
      <c r="J479" s="30" t="s">
        <v>46</v>
      </c>
      <c r="K479" s="153"/>
      <c r="L479" s="31" t="s">
        <v>34</v>
      </c>
      <c r="M479" s="20" t="s">
        <v>1190</v>
      </c>
      <c r="N479" s="20" t="s">
        <v>1190</v>
      </c>
      <c r="O479" s="21"/>
      <c r="P479" s="21"/>
      <c r="Q479" s="20" t="s">
        <v>1190</v>
      </c>
      <c r="R479" s="21"/>
      <c r="S479" s="21"/>
      <c r="T479" s="21"/>
      <c r="U479" s="32" t="s">
        <v>1191</v>
      </c>
      <c r="V479" s="22"/>
      <c r="W479" s="23"/>
      <c r="X479" s="24"/>
      <c r="Y479" s="76" t="s">
        <v>39</v>
      </c>
      <c r="Z479" s="76"/>
      <c r="AA479" s="162" t="s">
        <v>1209</v>
      </c>
    </row>
    <row r="480" spans="1:27" ht="15" customHeight="1">
      <c r="A480" s="27" t="s">
        <v>1210</v>
      </c>
      <c r="B480" s="27"/>
      <c r="C480" s="28" t="s">
        <v>1189</v>
      </c>
      <c r="D480" s="17" t="str" cm="1">
        <f t="array" ref="D480">_xlfn.TEXTJOIN(", ", TRUE(), _xlfn._xlws.FILTER(Speakers_in_Recordings!$B$2:$B$1502,Speakers_in_Recordings!$A$2:$A$1502=Rcrdngs[[#This Row],[Text]],"[no speaker selected in Speakers_in_Recordings]"))</f>
        <v>MOR_Shawiya_Mzab_79.M</v>
      </c>
      <c r="E480" s="17" t="str" cm="1">
        <f t="array" ref="E480">_xlfn.TEXTJOIN(", ", TRUE(), _xlfn._xlws.FILTER(Sbcts_Rcrdngs[Subject],Sbcts_Rcrdngs[Recording]=Rcrdngs[[#This Row],[Text]],"[no subject selected in Subjects_in_Recordings]"))</f>
        <v>Daily life</v>
      </c>
      <c r="F480" s="29">
        <v>44619</v>
      </c>
      <c r="G480" s="19" t="s">
        <v>1202</v>
      </c>
      <c r="H480" s="19" t="s">
        <v>31</v>
      </c>
      <c r="I480" s="19" t="s">
        <v>46</v>
      </c>
      <c r="J480" s="30" t="s">
        <v>46</v>
      </c>
      <c r="K480" s="153"/>
      <c r="L480" s="31" t="s">
        <v>34</v>
      </c>
      <c r="M480" s="20" t="s">
        <v>1190</v>
      </c>
      <c r="N480" s="20" t="s">
        <v>1190</v>
      </c>
      <c r="O480" s="21"/>
      <c r="P480" s="21"/>
      <c r="Q480" s="20" t="s">
        <v>1190</v>
      </c>
      <c r="R480" s="21"/>
      <c r="S480" s="21"/>
      <c r="T480" s="21"/>
      <c r="U480" s="32" t="s">
        <v>1191</v>
      </c>
      <c r="V480" s="22"/>
      <c r="W480" s="23"/>
      <c r="X480" s="24"/>
      <c r="Y480" s="76" t="s">
        <v>39</v>
      </c>
      <c r="Z480" s="76"/>
      <c r="AA480" s="162" t="s">
        <v>1211</v>
      </c>
    </row>
    <row r="481" spans="1:27" ht="15" customHeight="1">
      <c r="A481" s="104" t="s">
        <v>1212</v>
      </c>
      <c r="B481" s="27"/>
      <c r="C481" s="28" t="s">
        <v>1205</v>
      </c>
      <c r="D481" s="17" t="str" cm="1">
        <f t="array" ref="D481">_xlfn.TEXTJOIN(", ", TRUE(), _xlfn._xlws.FILTER(Speakers_in_Recordings!$B$2:$B$1502,Speakers_in_Recordings!$A$2:$A$1502=Rcrdngs[[#This Row],[Text]],"[no speaker selected in Speakers_in_Recordings]"))</f>
        <v>[no speaker selected in Speakers_in_Recordings]</v>
      </c>
      <c r="E481" s="17" t="str" cm="1">
        <f t="array" ref="E481">_xlfn.TEXTJOIN(", ", TRUE(), _xlfn._xlws.FILTER(Sbcts_Rcrdngs[Subject],Sbcts_Rcrdngs[Recording]=Rcrdngs[[#This Row],[Text]],"[no subject selected in Subjects_in_Recordings]"))</f>
        <v>[no subject selected in Subjects_in_Recordings]</v>
      </c>
      <c r="F481" s="18">
        <v>45012</v>
      </c>
      <c r="G481" s="19" t="s">
        <v>483</v>
      </c>
      <c r="H481" s="19" t="s">
        <v>31</v>
      </c>
      <c r="I481" s="19" t="s">
        <v>46</v>
      </c>
      <c r="J481" s="30" t="s">
        <v>46</v>
      </c>
      <c r="K481" s="153"/>
      <c r="L481" s="31" t="s">
        <v>34</v>
      </c>
      <c r="M481" s="20" t="s">
        <v>1190</v>
      </c>
      <c r="N481" s="20" t="s">
        <v>1190</v>
      </c>
      <c r="O481" s="21"/>
      <c r="P481" s="21"/>
      <c r="Q481" s="20" t="s">
        <v>1190</v>
      </c>
      <c r="R481" s="21"/>
      <c r="S481" s="21"/>
      <c r="T481" s="21"/>
      <c r="U481" s="20" t="s">
        <v>1191</v>
      </c>
      <c r="V481" s="22"/>
      <c r="W481" s="23"/>
      <c r="X481" s="24"/>
      <c r="Y481" s="76" t="s">
        <v>39</v>
      </c>
      <c r="Z481" s="76"/>
      <c r="AA481" s="162" t="s">
        <v>1213</v>
      </c>
    </row>
    <row r="482" spans="1:27" ht="15" customHeight="1">
      <c r="A482" s="27" t="s">
        <v>1214</v>
      </c>
      <c r="B482" s="27"/>
      <c r="C482" s="28" t="s">
        <v>1189</v>
      </c>
      <c r="D482" s="17" t="str" cm="1">
        <f t="array" ref="D482">_xlfn.TEXTJOIN(", ", TRUE(), _xlfn._xlws.FILTER(Speakers_in_Recordings!$B$2:$B$1502,Speakers_in_Recordings!$A$2:$A$1502=Rcrdngs[[#This Row],[Text]],"[no speaker selected in Speakers_in_Recordings]"))</f>
        <v>MOR_Z_GH_104.M</v>
      </c>
      <c r="E482" s="17" t="str" cm="1">
        <f t="array" ref="E482">_xlfn.TEXTJOIN(", ", TRUE(), _xlfn._xlws.FILTER(Sbcts_Rcrdngs[Subject],Sbcts_Rcrdngs[Recording]=Rcrdngs[[#This Row],[Text]],"[no subject selected in Subjects_in_Recordings]"))</f>
        <v>History general</v>
      </c>
      <c r="F482" s="29">
        <v>44607</v>
      </c>
      <c r="G482" s="19" t="s">
        <v>1215</v>
      </c>
      <c r="H482" s="19" t="s">
        <v>31</v>
      </c>
      <c r="I482" s="19" t="s">
        <v>46</v>
      </c>
      <c r="J482" s="30" t="s">
        <v>46</v>
      </c>
      <c r="K482" s="153"/>
      <c r="L482" s="31" t="s">
        <v>34</v>
      </c>
      <c r="M482" s="20" t="s">
        <v>1190</v>
      </c>
      <c r="N482" s="20" t="s">
        <v>1190</v>
      </c>
      <c r="O482" s="21"/>
      <c r="P482" s="21"/>
      <c r="Q482" s="20" t="s">
        <v>1190</v>
      </c>
      <c r="R482" s="21"/>
      <c r="S482" s="21"/>
      <c r="T482" s="21"/>
      <c r="U482" s="20" t="s">
        <v>1191</v>
      </c>
      <c r="V482" s="22"/>
      <c r="W482" s="23"/>
      <c r="X482" s="24"/>
      <c r="Y482" s="76" t="s">
        <v>39</v>
      </c>
      <c r="Z482" s="76"/>
      <c r="AA482" s="162" t="s">
        <v>1216</v>
      </c>
    </row>
    <row r="483" spans="1:27" ht="15" customHeight="1">
      <c r="A483" s="163" t="s">
        <v>1217</v>
      </c>
      <c r="B483" s="27"/>
      <c r="C483" s="164" t="s">
        <v>1218</v>
      </c>
      <c r="D483" s="17" t="str" cm="1">
        <f t="array" ref="D483">_xlfn.TEXTJOIN(", ", TRUE(), _xlfn._xlws.FILTER(Speakers_in_Recordings!$B$2:$B$1502,Speakers_in_Recordings!$A$2:$A$1502=Rcrdngs[[#This Row],[Text]],"[no speaker selected in Speakers_in_Recordings]"))</f>
        <v>[no speaker selected in Speakers_in_Recordings]</v>
      </c>
      <c r="E483" s="17" t="str" cm="1">
        <f t="array" ref="E483">_xlfn.TEXTJOIN(", ", TRUE(), _xlfn._xlws.FILTER(Sbcts_Rcrdngs[Subject],Sbcts_Rcrdngs[Recording]=Rcrdngs[[#This Row],[Text]],"[no subject selected in Subjects_in_Recordings]"))</f>
        <v>[no subject selected in Subjects_in_Recordings]</v>
      </c>
      <c r="F483" s="29">
        <v>45342</v>
      </c>
      <c r="G483" s="167">
        <v>0.29166666666666669</v>
      </c>
      <c r="H483" s="19" t="s">
        <v>274</v>
      </c>
      <c r="I483" s="19" t="s">
        <v>46</v>
      </c>
      <c r="J483" s="19"/>
      <c r="K483" s="178"/>
      <c r="L483" s="61"/>
      <c r="M483" s="20" t="s">
        <v>1190</v>
      </c>
      <c r="N483" s="20"/>
      <c r="O483" s="21"/>
      <c r="P483" s="21"/>
      <c r="Q483" s="21"/>
      <c r="R483" s="21"/>
      <c r="S483" s="21"/>
      <c r="T483" s="21"/>
      <c r="U483" s="20" t="s">
        <v>1191</v>
      </c>
      <c r="V483" s="22"/>
      <c r="W483" s="23"/>
      <c r="X483" s="24"/>
      <c r="Y483" s="76" t="s">
        <v>39</v>
      </c>
      <c r="Z483" s="76"/>
      <c r="AA483" s="76" t="str">
        <f>Rcrdngs[[#This Row],[Text]]</f>
        <v>MOR_Shawiya_AinLqsab_Beni Wra_how agriculture changed_2024</v>
      </c>
    </row>
    <row r="484" spans="1:27" ht="15" customHeight="1">
      <c r="A484" s="163" t="s">
        <v>1219</v>
      </c>
      <c r="B484" s="27"/>
      <c r="C484" s="164" t="s">
        <v>1205</v>
      </c>
      <c r="D484" s="17" t="str" cm="1">
        <f t="array" ref="D484">_xlfn.TEXTJOIN(", ", TRUE(), _xlfn._xlws.FILTER(Speakers_in_Recordings!$B$2:$B$1502,Speakers_in_Recordings!$A$2:$A$1502=Rcrdngs[[#This Row],[Text]],"[no speaker selected in Speakers_in_Recordings]"))</f>
        <v>[no speaker selected in Speakers_in_Recordings]</v>
      </c>
      <c r="E484" s="17" t="str" cm="1">
        <f t="array" ref="E484">_xlfn.TEXTJOIN(", ", TRUE(), _xlfn._xlws.FILTER(Sbcts_Rcrdngs[Subject],Sbcts_Rcrdngs[Recording]=Rcrdngs[[#This Row],[Text]],"[no subject selected in Subjects_in_Recordings]"))</f>
        <v>[no subject selected in Subjects_in_Recordings]</v>
      </c>
      <c r="F484" s="29">
        <v>45003</v>
      </c>
      <c r="G484" s="168">
        <v>0.20833333333333334</v>
      </c>
      <c r="H484" s="19" t="s">
        <v>274</v>
      </c>
      <c r="I484" s="19" t="s">
        <v>46</v>
      </c>
      <c r="J484" s="19"/>
      <c r="K484" s="178"/>
      <c r="L484" s="61"/>
      <c r="M484" s="20" t="s">
        <v>1190</v>
      </c>
      <c r="N484" s="20"/>
      <c r="O484" s="21"/>
      <c r="P484" s="21"/>
      <c r="Q484" s="21"/>
      <c r="R484" s="21"/>
      <c r="S484" s="21"/>
      <c r="T484" s="21"/>
      <c r="U484" s="20" t="s">
        <v>1191</v>
      </c>
      <c r="V484" s="22"/>
      <c r="W484" s="23"/>
      <c r="X484" s="24"/>
      <c r="Y484" s="76" t="s">
        <v>39</v>
      </c>
      <c r="Z484" s="76"/>
      <c r="AA484" s="76" t="str">
        <f>Rcrdngs[[#This Row],[Text]]</f>
        <v>MOR_Shawiya_Ain-l-Qsab_Beni-Wra_xurafa_2023</v>
      </c>
    </row>
    <row r="485" spans="1:27" ht="15" customHeight="1">
      <c r="A485" s="163" t="s">
        <v>1220</v>
      </c>
      <c r="B485" s="27"/>
      <c r="C485" s="164" t="s">
        <v>1205</v>
      </c>
      <c r="D485" s="17" t="str" cm="1">
        <f t="array" ref="D485">_xlfn.TEXTJOIN(", ", TRUE(), _xlfn._xlws.FILTER(Speakers_in_Recordings!$B$2:$B$1502,Speakers_in_Recordings!$A$2:$A$1502=Rcrdngs[[#This Row],[Text]],"[no speaker selected in Speakers_in_Recordings]"))</f>
        <v>[no speaker selected in Speakers_in_Recordings]</v>
      </c>
      <c r="E485" s="17" t="str" cm="1">
        <f t="array" ref="E485">_xlfn.TEXTJOIN(", ", TRUE(), _xlfn._xlws.FILTER(Sbcts_Rcrdngs[Subject],Sbcts_Rcrdngs[Recording]=Rcrdngs[[#This Row],[Text]],"[no subject selected in Subjects_in_Recordings]"))</f>
        <v>[no subject selected in Subjects_in_Recordings]</v>
      </c>
      <c r="F485" s="29">
        <v>45003</v>
      </c>
      <c r="G485" s="168">
        <v>0.33333333333333331</v>
      </c>
      <c r="H485" s="19" t="s">
        <v>274</v>
      </c>
      <c r="I485" s="19" t="s">
        <v>46</v>
      </c>
      <c r="J485" s="19"/>
      <c r="K485" s="178"/>
      <c r="L485" s="61"/>
      <c r="M485" s="20" t="s">
        <v>1190</v>
      </c>
      <c r="N485" s="20"/>
      <c r="O485" s="21"/>
      <c r="P485" s="21"/>
      <c r="Q485" s="21"/>
      <c r="R485" s="21"/>
      <c r="S485" s="21"/>
      <c r="T485" s="21"/>
      <c r="U485" s="20" t="s">
        <v>1191</v>
      </c>
      <c r="V485" s="22"/>
      <c r="W485" s="23"/>
      <c r="X485" s="24"/>
      <c r="Y485" s="76" t="s">
        <v>39</v>
      </c>
      <c r="Z485" s="76"/>
      <c r="AA485" s="76" t="str">
        <f>Rcrdngs[[#This Row],[Text]]</f>
        <v>MOR_Shawiya_AinlQsab_BeniWra_funerals__2023</v>
      </c>
    </row>
    <row r="486" spans="1:27" ht="15" customHeight="1">
      <c r="A486" s="163" t="s">
        <v>1221</v>
      </c>
      <c r="B486" s="27"/>
      <c r="C486" s="164" t="s">
        <v>1218</v>
      </c>
      <c r="D486" s="17" t="str" cm="1">
        <f t="array" ref="D486">_xlfn.TEXTJOIN(", ", TRUE(), _xlfn._xlws.FILTER(Speakers_in_Recordings!$B$2:$B$1502,Speakers_in_Recordings!$A$2:$A$1502=Rcrdngs[[#This Row],[Text]],"[no speaker selected in Speakers_in_Recordings]"))</f>
        <v>[no speaker selected in Speakers_in_Recordings]</v>
      </c>
      <c r="E486" s="17" t="str" cm="1">
        <f t="array" ref="E486">_xlfn.TEXTJOIN(", ", TRUE(), _xlfn._xlws.FILTER(Sbcts_Rcrdngs[Subject],Sbcts_Rcrdngs[Recording]=Rcrdngs[[#This Row],[Text]],"[no subject selected in Subjects_in_Recordings]"))</f>
        <v>[no subject selected in Subjects_in_Recordings]</v>
      </c>
      <c r="F486" s="29">
        <v>45334</v>
      </c>
      <c r="G486" s="168">
        <v>0.39583333333333331</v>
      </c>
      <c r="H486" s="19" t="s">
        <v>274</v>
      </c>
      <c r="I486" s="19" t="s">
        <v>46</v>
      </c>
      <c r="J486" s="19"/>
      <c r="K486" s="178"/>
      <c r="L486" s="61"/>
      <c r="M486" s="20" t="s">
        <v>1190</v>
      </c>
      <c r="N486" s="20"/>
      <c r="O486" s="21"/>
      <c r="P486" s="21"/>
      <c r="Q486" s="21"/>
      <c r="R486" s="21"/>
      <c r="S486" s="21"/>
      <c r="T486" s="21"/>
      <c r="U486" s="20" t="s">
        <v>1191</v>
      </c>
      <c r="V486" s="22"/>
      <c r="W486" s="23"/>
      <c r="X486" s="24"/>
      <c r="Y486" s="76" t="s">
        <v>39</v>
      </c>
      <c r="Z486" s="76"/>
      <c r="AA486" s="76" t="str">
        <f>Rcrdngs[[#This Row],[Text]]</f>
        <v>MOR_Shawiya_BeniMesnawi_birth_2024</v>
      </c>
    </row>
    <row r="487" spans="1:27" ht="15" customHeight="1">
      <c r="A487" s="163" t="s">
        <v>1222</v>
      </c>
      <c r="B487" s="27"/>
      <c r="C487" s="164" t="s">
        <v>1218</v>
      </c>
      <c r="D487" s="17" t="str" cm="1">
        <f t="array" ref="D487">_xlfn.TEXTJOIN(", ", TRUE(), _xlfn._xlws.FILTER(Speakers_in_Recordings!$B$2:$B$1502,Speakers_in_Recordings!$A$2:$A$1502=Rcrdngs[[#This Row],[Text]],"[no speaker selected in Speakers_in_Recordings]"))</f>
        <v>[no speaker selected in Speakers_in_Recordings]</v>
      </c>
      <c r="E487" s="17" t="str" cm="1">
        <f t="array" ref="E487">_xlfn.TEXTJOIN(", ", TRUE(), _xlfn._xlws.FILTER(Sbcts_Rcrdngs[Subject],Sbcts_Rcrdngs[Recording]=Rcrdngs[[#This Row],[Text]],"[no subject selected in Subjects_in_Recordings]"))</f>
        <v>[no subject selected in Subjects_in_Recordings]</v>
      </c>
      <c r="F487" s="29">
        <v>45335</v>
      </c>
      <c r="G487" s="168">
        <v>0.20833333333333334</v>
      </c>
      <c r="H487" s="19" t="s">
        <v>274</v>
      </c>
      <c r="I487" s="19" t="s">
        <v>46</v>
      </c>
      <c r="J487" s="19"/>
      <c r="K487" s="178"/>
      <c r="L487" s="61"/>
      <c r="M487" s="20" t="s">
        <v>1190</v>
      </c>
      <c r="N487" s="20"/>
      <c r="O487" s="21"/>
      <c r="P487" s="21"/>
      <c r="Q487" s="21"/>
      <c r="R487" s="21"/>
      <c r="S487" s="21"/>
      <c r="T487" s="21"/>
      <c r="U487" s="20" t="s">
        <v>1191</v>
      </c>
      <c r="V487" s="22"/>
      <c r="W487" s="23"/>
      <c r="X487" s="24"/>
      <c r="Y487" s="76" t="s">
        <v>39</v>
      </c>
      <c r="Z487" s="76"/>
      <c r="AA487" s="76" t="str">
        <f>Rcrdngs[[#This Row],[Text]]</f>
        <v>MOR_Shawiya_BeniMesnawi_shekwa_2024</v>
      </c>
    </row>
    <row r="488" spans="1:27" ht="15" customHeight="1">
      <c r="A488" s="163" t="s">
        <v>1223</v>
      </c>
      <c r="B488" s="27"/>
      <c r="C488" s="164" t="s">
        <v>1218</v>
      </c>
      <c r="D488" s="17" t="str" cm="1">
        <f t="array" ref="D488">_xlfn.TEXTJOIN(", ", TRUE(), _xlfn._xlws.FILTER(Speakers_in_Recordings!$B$2:$B$1502,Speakers_in_Recordings!$A$2:$A$1502=Rcrdngs[[#This Row],[Text]],"[no speaker selected in Speakers_in_Recordings]"))</f>
        <v>[no speaker selected in Speakers_in_Recordings]</v>
      </c>
      <c r="E488" s="17" t="str" cm="1">
        <f t="array" ref="E488">_xlfn.TEXTJOIN(", ", TRUE(), _xlfn._xlws.FILTER(Sbcts_Rcrdngs[Subject],Sbcts_Rcrdngs[Recording]=Rcrdngs[[#This Row],[Text]],"[no subject selected in Subjects_in_Recordings]"))</f>
        <v>[no subject selected in Subjects_in_Recordings]</v>
      </c>
      <c r="F488" s="29">
        <v>45333</v>
      </c>
      <c r="G488" s="168">
        <v>0.29166666666666669</v>
      </c>
      <c r="H488" s="19" t="s">
        <v>274</v>
      </c>
      <c r="I488" s="19" t="s">
        <v>46</v>
      </c>
      <c r="J488" s="19"/>
      <c r="K488" s="178"/>
      <c r="L488" s="61"/>
      <c r="M488" s="20" t="s">
        <v>1190</v>
      </c>
      <c r="N488" s="20"/>
      <c r="O488" s="21"/>
      <c r="P488" s="21"/>
      <c r="Q488" s="21"/>
      <c r="R488" s="21"/>
      <c r="S488" s="21"/>
      <c r="T488" s="21"/>
      <c r="U488" s="20" t="s">
        <v>1191</v>
      </c>
      <c r="V488" s="22"/>
      <c r="W488" s="23"/>
      <c r="X488" s="24"/>
      <c r="Y488" s="76" t="s">
        <v>39</v>
      </c>
      <c r="Z488" s="76"/>
      <c r="AA488" s="76" t="str">
        <f>Rcrdngs[[#This Row],[Text]]</f>
        <v>MOR_Zaer_BeniMeskin_Xwarin_agriculture_man_2024</v>
      </c>
    </row>
    <row r="489" spans="1:27" ht="15" customHeight="1">
      <c r="A489" s="163" t="s">
        <v>1224</v>
      </c>
      <c r="B489" s="27"/>
      <c r="C489" s="164" t="s">
        <v>1205</v>
      </c>
      <c r="D489" s="17" t="str" cm="1">
        <f t="array" ref="D489">_xlfn.TEXTJOIN(", ", TRUE(), _xlfn._xlws.FILTER(Speakers_in_Recordings!$B$2:$B$1502,Speakers_in_Recordings!$A$2:$A$1502=Rcrdngs[[#This Row],[Text]],"[no speaker selected in Speakers_in_Recordings]"))</f>
        <v>[no speaker selected in Speakers_in_Recordings]</v>
      </c>
      <c r="E489" s="17" t="str" cm="1">
        <f t="array" ref="E489">_xlfn.TEXTJOIN(", ", TRUE(), _xlfn._xlws.FILTER(Sbcts_Rcrdngs[Subject],Sbcts_Rcrdngs[Recording]=Rcrdngs[[#This Row],[Text]],"[no subject selected in Subjects_in_Recordings]"))</f>
        <v>[no subject selected in Subjects_in_Recordings]</v>
      </c>
      <c r="F489" s="29">
        <v>45007</v>
      </c>
      <c r="G489" s="168">
        <v>0.125</v>
      </c>
      <c r="H489" s="19" t="s">
        <v>274</v>
      </c>
      <c r="I489" s="19" t="s">
        <v>46</v>
      </c>
      <c r="J489" s="19"/>
      <c r="K489" s="178"/>
      <c r="L489" s="61"/>
      <c r="M489" s="20" t="s">
        <v>1190</v>
      </c>
      <c r="N489" s="20"/>
      <c r="O489" s="21"/>
      <c r="P489" s="21"/>
      <c r="Q489" s="21"/>
      <c r="R489" s="21"/>
      <c r="S489" s="21"/>
      <c r="T489" s="21"/>
      <c r="U489" s="20" t="s">
        <v>1191</v>
      </c>
      <c r="V489" s="22"/>
      <c r="W489" s="23"/>
      <c r="X489" s="24"/>
      <c r="Y489" s="76" t="s">
        <v>39</v>
      </c>
      <c r="Z489" s="76"/>
      <c r="AA489" s="76" t="str">
        <f>Rcrdngs[[#This Row],[Text]]</f>
        <v>MOR_Zaer_Rommani_Duwar hdahda_tata_2023</v>
      </c>
    </row>
    <row r="490" spans="1:27" ht="15" customHeight="1">
      <c r="A490" s="163" t="s">
        <v>1208</v>
      </c>
      <c r="B490" s="27"/>
      <c r="C490" s="164" t="s">
        <v>1218</v>
      </c>
      <c r="D490" s="17" t="str" cm="1">
        <f t="array" ref="D490">_xlfn.TEXTJOIN(", ", TRUE(), _xlfn._xlws.FILTER(Speakers_in_Recordings!$B$2:$B$1502,Speakers_in_Recordings!$A$2:$A$1502=Rcrdngs[[#This Row],[Text]],"[no speaker selected in Speakers_in_Recordings]"))</f>
        <v xml:space="preserve">MOR_Z_F_70.F </v>
      </c>
      <c r="E490" s="17" t="str" cm="1">
        <f t="array" ref="E490">_xlfn.TEXTJOIN(", ", TRUE(), _xlfn._xlws.FILTER(Sbcts_Rcrdngs[Subject],Sbcts_Rcrdngs[Recording]=Rcrdngs[[#This Row],[Text]],"[no subject selected in Subjects_in_Recordings]"))</f>
        <v>Daily life</v>
      </c>
      <c r="F490" s="29">
        <v>45338</v>
      </c>
      <c r="G490" s="168">
        <v>0.375</v>
      </c>
      <c r="H490" s="19" t="s">
        <v>274</v>
      </c>
      <c r="I490" s="19" t="s">
        <v>46</v>
      </c>
      <c r="J490" s="19"/>
      <c r="K490" s="178"/>
      <c r="L490" s="61"/>
      <c r="M490" s="20" t="s">
        <v>1190</v>
      </c>
      <c r="N490" s="20"/>
      <c r="O490" s="21"/>
      <c r="P490" s="21"/>
      <c r="Q490" s="21"/>
      <c r="R490" s="21"/>
      <c r="S490" s="21"/>
      <c r="T490" s="21"/>
      <c r="U490" s="20" t="s">
        <v>1191</v>
      </c>
      <c r="V490" s="22"/>
      <c r="W490" s="23"/>
      <c r="X490" s="24"/>
      <c r="Y490" s="76" t="s">
        <v>39</v>
      </c>
      <c r="Z490" s="76"/>
      <c r="AA490" s="76" t="str">
        <f>Rcrdngs[[#This Row],[Text]]</f>
        <v>MOR_Zaer_Faytat_her_daughters_sickness_2024</v>
      </c>
    </row>
    <row r="491" spans="1:27" ht="15" customHeight="1">
      <c r="A491" s="163" t="s">
        <v>1225</v>
      </c>
      <c r="B491" s="27"/>
      <c r="C491" s="164" t="s">
        <v>1218</v>
      </c>
      <c r="D491" s="17" t="str" cm="1">
        <f t="array" ref="D491">_xlfn.TEXTJOIN(", ", TRUE(), _xlfn._xlws.FILTER(Speakers_in_Recordings!$B$2:$B$1502,Speakers_in_Recordings!$A$2:$A$1502=Rcrdngs[[#This Row],[Text]],"[no speaker selected in Speakers_in_Recordings]"))</f>
        <v>[no speaker selected in Speakers_in_Recordings]</v>
      </c>
      <c r="E491" s="17" t="str" cm="1">
        <f t="array" ref="E491">_xlfn.TEXTJOIN(", ", TRUE(), _xlfn._xlws.FILTER(Sbcts_Rcrdngs[Subject],Sbcts_Rcrdngs[Recording]=Rcrdngs[[#This Row],[Text]],"[no subject selected in Subjects_in_Recordings]"))</f>
        <v>[no subject selected in Subjects_in_Recordings]</v>
      </c>
      <c r="F491" s="29">
        <v>45334</v>
      </c>
      <c r="G491" s="168">
        <v>8.3333333333333329E-2</v>
      </c>
      <c r="H491" s="19" t="s">
        <v>274</v>
      </c>
      <c r="I491" s="19" t="s">
        <v>46</v>
      </c>
      <c r="J491" s="19"/>
      <c r="K491" s="178"/>
      <c r="L491" s="61"/>
      <c r="M491" s="20" t="s">
        <v>1190</v>
      </c>
      <c r="N491" s="20"/>
      <c r="O491" s="21"/>
      <c r="P491" s="21"/>
      <c r="Q491" s="21"/>
      <c r="R491" s="21"/>
      <c r="S491" s="21"/>
      <c r="T491" s="21"/>
      <c r="U491" s="20" t="s">
        <v>1191</v>
      </c>
      <c r="V491" s="22"/>
      <c r="W491" s="23"/>
      <c r="X491" s="24"/>
      <c r="Y491" s="76" t="s">
        <v>39</v>
      </c>
      <c r="Z491" s="76"/>
      <c r="AA491" s="76" t="str">
        <f>Rcrdngs[[#This Row],[Text]]</f>
        <v>MOR_Zaer_BeniMeskin_Xwarin_Azzazba_2024</v>
      </c>
    </row>
    <row r="492" spans="1:27" ht="15" customHeight="1">
      <c r="A492" s="163" t="s">
        <v>1226</v>
      </c>
      <c r="B492" s="27"/>
      <c r="C492" s="164" t="s">
        <v>1205</v>
      </c>
      <c r="D492" s="17" t="str" cm="1">
        <f t="array" ref="D492">_xlfn.TEXTJOIN(", ", TRUE(), _xlfn._xlws.FILTER(Speakers_in_Recordings!$B$2:$B$1502,Speakers_in_Recordings!$A$2:$A$1502=Rcrdngs[[#This Row],[Text]],"[no speaker selected in Speakers_in_Recordings]"))</f>
        <v>[no speaker selected in Speakers_in_Recordings]</v>
      </c>
      <c r="E492" s="17" t="str" cm="1">
        <f t="array" ref="E492">_xlfn.TEXTJOIN(", ", TRUE(), _xlfn._xlws.FILTER(Sbcts_Rcrdngs[Subject],Sbcts_Rcrdngs[Recording]=Rcrdngs[[#This Row],[Text]],"[no subject selected in Subjects_in_Recordings]"))</f>
        <v>[no subject selected in Subjects_in_Recordings]</v>
      </c>
      <c r="F492" s="29">
        <v>45331</v>
      </c>
      <c r="G492" s="168">
        <v>0.29166666666666669</v>
      </c>
      <c r="H492" s="19" t="s">
        <v>274</v>
      </c>
      <c r="I492" s="19" t="s">
        <v>46</v>
      </c>
      <c r="J492" s="19"/>
      <c r="K492" s="178"/>
      <c r="L492" s="61"/>
      <c r="M492" s="20" t="s">
        <v>1190</v>
      </c>
      <c r="N492" s="20"/>
      <c r="O492" s="21"/>
      <c r="P492" s="21"/>
      <c r="Q492" s="21"/>
      <c r="R492" s="21"/>
      <c r="S492" s="21"/>
      <c r="T492" s="21"/>
      <c r="U492" s="20" t="s">
        <v>1191</v>
      </c>
      <c r="V492" s="22"/>
      <c r="W492" s="23"/>
      <c r="X492" s="24"/>
      <c r="Y492" s="76" t="s">
        <v>39</v>
      </c>
      <c r="Z492" s="76"/>
      <c r="AA492" s="76" t="str">
        <f>Rcrdngs[[#This Row],[Text]]</f>
        <v>MOR_Zaer_Ribaa_women about life on the countryside_2023</v>
      </c>
    </row>
    <row r="493" spans="1:27" ht="15" customHeight="1">
      <c r="A493" s="163" t="s">
        <v>1227</v>
      </c>
      <c r="B493" s="27"/>
      <c r="C493" s="165" t="s">
        <v>1218</v>
      </c>
      <c r="D493" s="17" t="str" cm="1">
        <f t="array" ref="D493">_xlfn.TEXTJOIN(", ", TRUE(), _xlfn._xlws.FILTER(Speakers_in_Recordings!$B$2:$B$1502,Speakers_in_Recordings!$A$2:$A$1502=Rcrdngs[[#This Row],[Text]],"[no speaker selected in Speakers_in_Recordings]"))</f>
        <v>[no speaker selected in Speakers_in_Recordings]</v>
      </c>
      <c r="E493" s="17" t="str" cm="1">
        <f t="array" ref="E493">_xlfn.TEXTJOIN(", ", TRUE(), _xlfn._xlws.FILTER(Sbcts_Rcrdngs[Subject],Sbcts_Rcrdngs[Recording]=Rcrdngs[[#This Row],[Text]],"[no subject selected in Subjects_in_Recordings]"))</f>
        <v>[no subject selected in Subjects_in_Recordings]</v>
      </c>
      <c r="F493" s="29">
        <v>45341</v>
      </c>
      <c r="G493" s="168">
        <v>0.25</v>
      </c>
      <c r="H493" s="19" t="s">
        <v>274</v>
      </c>
      <c r="I493" s="19" t="s">
        <v>46</v>
      </c>
      <c r="J493" s="19"/>
      <c r="K493" s="153"/>
      <c r="L493" s="61"/>
      <c r="M493" s="20" t="s">
        <v>1190</v>
      </c>
      <c r="N493" s="20"/>
      <c r="O493" s="21"/>
      <c r="P493" s="21"/>
      <c r="Q493" s="21"/>
      <c r="R493" s="21"/>
      <c r="S493" s="21"/>
      <c r="T493" s="21"/>
      <c r="U493" s="20" t="s">
        <v>1191</v>
      </c>
      <c r="V493" s="22"/>
      <c r="W493" s="23"/>
      <c r="X493" s="24"/>
      <c r="Y493" s="76" t="s">
        <v>39</v>
      </c>
      <c r="Z493" s="76"/>
      <c r="AA493" s="76"/>
    </row>
    <row r="494" spans="1:27" ht="15" customHeight="1">
      <c r="A494" s="163" t="s">
        <v>1228</v>
      </c>
      <c r="B494" s="27"/>
      <c r="C494" s="166" t="s">
        <v>1218</v>
      </c>
      <c r="D494" s="17" t="str" cm="1">
        <f t="array" ref="D494">_xlfn.TEXTJOIN(", ", TRUE(), _xlfn._xlws.FILTER(Speakers_in_Recordings!$B$2:$B$1502,Speakers_in_Recordings!$A$2:$A$1502=Rcrdngs[[#This Row],[Text]],"[no speaker selected in Speakers_in_Recordings]"))</f>
        <v>[no speaker selected in Speakers_in_Recordings]</v>
      </c>
      <c r="E494" s="17" t="str" cm="1">
        <f t="array" ref="E494">_xlfn.TEXTJOIN(", ", TRUE(), _xlfn._xlws.FILTER(Sbcts_Rcrdngs[Subject],Sbcts_Rcrdngs[Recording]=Rcrdngs[[#This Row],[Text]],"[no subject selected in Subjects_in_Recordings]"))</f>
        <v>[no subject selected in Subjects_in_Recordings]</v>
      </c>
      <c r="F494" s="29">
        <v>45344</v>
      </c>
      <c r="G494" s="168">
        <v>0.33333333333333331</v>
      </c>
      <c r="H494" s="19" t="s">
        <v>274</v>
      </c>
      <c r="I494" s="19" t="s">
        <v>46</v>
      </c>
      <c r="J494" s="19"/>
      <c r="K494" s="178"/>
      <c r="L494" s="61"/>
      <c r="M494" s="20" t="s">
        <v>1190</v>
      </c>
      <c r="N494" s="20"/>
      <c r="O494" s="21"/>
      <c r="P494" s="21"/>
      <c r="Q494" s="21"/>
      <c r="R494" s="21"/>
      <c r="S494" s="21"/>
      <c r="T494" s="21"/>
      <c r="U494" s="20" t="s">
        <v>1191</v>
      </c>
      <c r="V494" s="22"/>
      <c r="W494" s="23"/>
      <c r="X494" s="24"/>
      <c r="Y494" s="76" t="s">
        <v>39</v>
      </c>
      <c r="Z494" s="76"/>
      <c r="AA494" s="76" t="str">
        <f>Rcrdngs[[#This Row],[Text]]</f>
        <v>MOR_Shawiya_BeniMesnawi_qabla_2024_2</v>
      </c>
    </row>
    <row r="495" spans="1:27" ht="15" customHeight="1">
      <c r="A495" s="163" t="s">
        <v>1229</v>
      </c>
      <c r="B495" s="27"/>
      <c r="C495" s="166" t="s">
        <v>1205</v>
      </c>
      <c r="D495" s="17" t="str" cm="1">
        <f t="array" ref="D495">_xlfn.TEXTJOIN(", ", TRUE(), _xlfn._xlws.FILTER(Speakers_in_Recordings!$B$2:$B$1502,Speakers_in_Recordings!$A$2:$A$1502=Rcrdngs[[#This Row],[Text]],"[no speaker selected in Speakers_in_Recordings]"))</f>
        <v>[no speaker selected in Speakers_in_Recordings]</v>
      </c>
      <c r="E495" s="17" t="str" cm="1">
        <f t="array" ref="E495">_xlfn.TEXTJOIN(", ", TRUE(), _xlfn._xlws.FILTER(Sbcts_Rcrdngs[Subject],Sbcts_Rcrdngs[Recording]=Rcrdngs[[#This Row],[Text]],"[no subject selected in Subjects_in_Recordings]"))</f>
        <v>[no subject selected in Subjects_in_Recordings]</v>
      </c>
      <c r="F495" s="29">
        <v>45007</v>
      </c>
      <c r="G495" s="168">
        <v>0.16666666666666666</v>
      </c>
      <c r="H495" s="19" t="s">
        <v>274</v>
      </c>
      <c r="I495" s="19" t="s">
        <v>46</v>
      </c>
      <c r="J495" s="19"/>
      <c r="K495" s="153"/>
      <c r="L495" s="61"/>
      <c r="M495" s="20" t="s">
        <v>1190</v>
      </c>
      <c r="N495" s="20"/>
      <c r="O495" s="21"/>
      <c r="P495" s="21"/>
      <c r="Q495" s="21"/>
      <c r="R495" s="21"/>
      <c r="S495" s="21"/>
      <c r="T495" s="21"/>
      <c r="U495" s="20" t="s">
        <v>1191</v>
      </c>
      <c r="V495" s="22"/>
      <c r="W495" s="23"/>
      <c r="X495" s="24"/>
      <c r="Y495" s="76" t="s">
        <v>39</v>
      </c>
      <c r="Z495" s="76"/>
      <c r="AA495" s="76"/>
    </row>
    <row r="496" spans="1:27" ht="15" customHeight="1">
      <c r="A496" s="35"/>
      <c r="B496" s="27"/>
      <c r="C496" s="45"/>
      <c r="D496" s="17" t="str" cm="1">
        <f t="array" ref="D496">_xlfn.TEXTJOIN(", ", TRUE(), _xlfn._xlws.FILTER(Speakers_in_Recordings!$B$2:$B$1502,Speakers_in_Recordings!$A$2:$A$1502=Rcrdngs[[#This Row],[Text]],"[no speaker selected in Speakers_in_Recordings]"))</f>
        <v/>
      </c>
      <c r="E496" s="17" t="str" cm="1">
        <f t="array" ref="E496">_xlfn.TEXTJOIN(", ", TRUE(), _xlfn._xlws.FILTER(Sbcts_Rcrdngs[Subject],Sbcts_Rcrdngs[Recording]=Rcrdngs[[#This Row],[Text]],"[no subject selected in Subjects_in_Recordings]"))</f>
        <v/>
      </c>
      <c r="F496" s="18"/>
      <c r="G496" s="19"/>
      <c r="H496" s="19"/>
      <c r="I496" s="19"/>
      <c r="J496" s="19"/>
      <c r="K496" s="178"/>
      <c r="L496" s="61"/>
      <c r="M496" s="20"/>
      <c r="N496" s="20"/>
      <c r="O496" s="21"/>
      <c r="P496" s="21"/>
      <c r="Q496" s="21"/>
      <c r="R496" s="21"/>
      <c r="S496" s="21"/>
      <c r="T496" s="21"/>
      <c r="U496" s="20"/>
      <c r="V496" s="22"/>
      <c r="W496" s="23"/>
      <c r="X496" s="24"/>
      <c r="Y496" s="76"/>
      <c r="Z496" s="76"/>
      <c r="AA496" s="76">
        <f>Rcrdngs[[#This Row],[Text]]</f>
        <v>0</v>
      </c>
    </row>
    <row r="497" spans="1:27" ht="15" customHeight="1">
      <c r="A497" s="27" t="s">
        <v>1230</v>
      </c>
      <c r="B497" s="27"/>
      <c r="C497" s="28" t="s">
        <v>1231</v>
      </c>
      <c r="D497" s="17" t="str" cm="1">
        <f t="array" ref="D497">_xlfn.TEXTJOIN(", ", TRUE(), _xlfn._xlws.FILTER(Speakers_in_Recordings!$B$2:$B$1502,Speakers_in_Recordings!$A$2:$A$1502=Rcrdngs[[#This Row],[Text]],"[no speaker selected in Speakers_in_Recordings]"))</f>
        <v>SUD_2023_Speaker1</v>
      </c>
      <c r="E497" s="17" t="str" cm="1">
        <f t="array" ref="E497">_xlfn.TEXTJOIN(", ", TRUE(), _xlfn._xlws.FILTER(Sbcts_Rcrdngs[Subject],Sbcts_Rcrdngs[Recording]=Rcrdngs[[#This Row],[Text]],"[no subject selected in Subjects_in_Recordings]"))</f>
        <v>[no subject selected in Subjects_in_Recordings]</v>
      </c>
      <c r="F497" s="18">
        <v>44992</v>
      </c>
      <c r="G497" s="19" t="s">
        <v>1232</v>
      </c>
      <c r="H497" s="19" t="s">
        <v>274</v>
      </c>
      <c r="I497" s="19" t="s">
        <v>46</v>
      </c>
      <c r="J497" s="19"/>
      <c r="K497" s="153"/>
      <c r="L497" s="61"/>
      <c r="M497" s="20" t="s">
        <v>1233</v>
      </c>
      <c r="N497" s="20"/>
      <c r="O497" s="21"/>
      <c r="P497" s="21"/>
      <c r="Q497" s="21"/>
      <c r="R497" s="21"/>
      <c r="S497" s="21"/>
      <c r="T497" s="21"/>
      <c r="U497" s="20" t="s">
        <v>1234</v>
      </c>
      <c r="V497" s="22"/>
      <c r="W497" s="23"/>
      <c r="X497" s="24"/>
      <c r="Y497" s="76" t="s">
        <v>39</v>
      </c>
      <c r="Z497" s="76"/>
      <c r="AA497" s="76"/>
    </row>
    <row r="498" spans="1:27" ht="15" customHeight="1">
      <c r="A498" s="27" t="s">
        <v>1235</v>
      </c>
      <c r="B498" s="27"/>
      <c r="C498" s="28" t="s">
        <v>1231</v>
      </c>
      <c r="D498" s="17" t="str" cm="1">
        <f t="array" ref="D498">_xlfn.TEXTJOIN(", ", TRUE(), _xlfn._xlws.FILTER(Speakers_in_Recordings!$B$2:$B$1502,Speakers_in_Recordings!$A$2:$A$1502=Rcrdngs[[#This Row],[Text]],"[no speaker selected in Speakers_in_Recordings]"))</f>
        <v>SUD_2023_Speaker1</v>
      </c>
      <c r="E498" s="17" t="str" cm="1">
        <f t="array" ref="E498">_xlfn.TEXTJOIN(", ", TRUE(), _xlfn._xlws.FILTER(Sbcts_Rcrdngs[Subject],Sbcts_Rcrdngs[Recording]=Rcrdngs[[#This Row],[Text]],"[no subject selected in Subjects_in_Recordings]"))</f>
        <v>[no subject selected in Subjects_in_Recordings]</v>
      </c>
      <c r="F498" s="18">
        <v>44992</v>
      </c>
      <c r="G498" s="19" t="s">
        <v>448</v>
      </c>
      <c r="H498" s="19" t="s">
        <v>274</v>
      </c>
      <c r="I498" s="19" t="s">
        <v>46</v>
      </c>
      <c r="J498" s="19"/>
      <c r="K498" s="153"/>
      <c r="L498" s="61"/>
      <c r="M498" s="20" t="s">
        <v>1233</v>
      </c>
      <c r="N498" s="20"/>
      <c r="O498" s="21"/>
      <c r="P498" s="21"/>
      <c r="Q498" s="21"/>
      <c r="R498" s="21"/>
      <c r="S498" s="21"/>
      <c r="T498" s="21"/>
      <c r="U498" s="20" t="s">
        <v>1234</v>
      </c>
      <c r="V498" s="22"/>
      <c r="W498" s="23"/>
      <c r="X498" s="24"/>
      <c r="Y498" s="76" t="s">
        <v>39</v>
      </c>
      <c r="Z498" s="76"/>
      <c r="AA498" s="76"/>
    </row>
    <row r="499" spans="1:27" ht="15" customHeight="1">
      <c r="A499" s="27" t="s">
        <v>1236</v>
      </c>
      <c r="B499" s="27"/>
      <c r="C499" s="28" t="s">
        <v>1231</v>
      </c>
      <c r="D499" s="17" t="str" cm="1">
        <f t="array" ref="D499">_xlfn.TEXTJOIN(", ", TRUE(), _xlfn._xlws.FILTER(Speakers_in_Recordings!$B$2:$B$1502,Speakers_in_Recordings!$A$2:$A$1502=Rcrdngs[[#This Row],[Text]],"[no speaker selected in Speakers_in_Recordings]"))</f>
        <v>SUD_2023_Speaker2</v>
      </c>
      <c r="E499" s="17" t="str" cm="1">
        <f t="array" ref="E499">_xlfn.TEXTJOIN(", ", TRUE(), _xlfn._xlws.FILTER(Sbcts_Rcrdngs[Subject],Sbcts_Rcrdngs[Recording]=Rcrdngs[[#This Row],[Text]],"[no subject selected in Subjects_in_Recordings]"))</f>
        <v>[no subject selected in Subjects_in_Recordings]</v>
      </c>
      <c r="F499" s="18">
        <v>44992</v>
      </c>
      <c r="G499" s="19" t="s">
        <v>1237</v>
      </c>
      <c r="H499" s="19" t="s">
        <v>274</v>
      </c>
      <c r="I499" s="19" t="s">
        <v>46</v>
      </c>
      <c r="J499" s="19"/>
      <c r="K499" s="153"/>
      <c r="L499" s="61"/>
      <c r="M499" s="20" t="s">
        <v>1233</v>
      </c>
      <c r="N499" s="20"/>
      <c r="O499" s="21"/>
      <c r="P499" s="21"/>
      <c r="Q499" s="21"/>
      <c r="R499" s="21"/>
      <c r="S499" s="21"/>
      <c r="T499" s="21"/>
      <c r="U499" s="20" t="s">
        <v>1234</v>
      </c>
      <c r="V499" s="22"/>
      <c r="W499" s="23"/>
      <c r="X499" s="24"/>
      <c r="Y499" s="76" t="s">
        <v>39</v>
      </c>
      <c r="Z499" s="76"/>
      <c r="AA499" s="76"/>
    </row>
    <row r="500" spans="1:27" ht="15" customHeight="1">
      <c r="A500" s="27" t="s">
        <v>1238</v>
      </c>
      <c r="B500" s="27"/>
      <c r="C500" s="28" t="s">
        <v>1231</v>
      </c>
      <c r="D500" s="17" t="str" cm="1">
        <f t="array" ref="D500">_xlfn.TEXTJOIN(", ", TRUE(), _xlfn._xlws.FILTER(Speakers_in_Recordings!$B$2:$B$1502,Speakers_in_Recordings!$A$2:$A$1502=Rcrdngs[[#This Row],[Text]],"[no speaker selected in Speakers_in_Recordings]"))</f>
        <v>SUD_2023_Speaker3</v>
      </c>
      <c r="E500" s="17" t="str" cm="1">
        <f t="array" ref="E500">_xlfn.TEXTJOIN(", ", TRUE(), _xlfn._xlws.FILTER(Sbcts_Rcrdngs[Subject],Sbcts_Rcrdngs[Recording]=Rcrdngs[[#This Row],[Text]],"[no subject selected in Subjects_in_Recordings]"))</f>
        <v>[no subject selected in Subjects_in_Recordings]</v>
      </c>
      <c r="F500" s="18">
        <v>44980</v>
      </c>
      <c r="G500" s="19" t="s">
        <v>997</v>
      </c>
      <c r="H500" s="19" t="s">
        <v>274</v>
      </c>
      <c r="I500" s="19" t="s">
        <v>46</v>
      </c>
      <c r="J500" s="19"/>
      <c r="K500" s="153"/>
      <c r="L500" s="61"/>
      <c r="M500" s="20" t="s">
        <v>1233</v>
      </c>
      <c r="N500" s="20"/>
      <c r="O500" s="21"/>
      <c r="P500" s="21"/>
      <c r="Q500" s="21"/>
      <c r="R500" s="21"/>
      <c r="S500" s="21"/>
      <c r="T500" s="21"/>
      <c r="U500" s="20" t="s">
        <v>1239</v>
      </c>
      <c r="V500" s="22"/>
      <c r="W500" s="23"/>
      <c r="X500" s="24"/>
      <c r="Y500" s="76" t="s">
        <v>39</v>
      </c>
      <c r="Z500" s="76"/>
      <c r="AA500" s="76"/>
    </row>
    <row r="501" spans="1:27" ht="15" customHeight="1">
      <c r="A501" s="27" t="s">
        <v>1240</v>
      </c>
      <c r="B501" s="27"/>
      <c r="C501" s="28" t="s">
        <v>1231</v>
      </c>
      <c r="D501" s="17" t="str" cm="1">
        <f t="array" ref="D501">_xlfn.TEXTJOIN(", ", TRUE(), _xlfn._xlws.FILTER(Speakers_in_Recordings!$B$2:$B$1502,Speakers_in_Recordings!$A$2:$A$1502=Rcrdngs[[#This Row],[Text]],"[no speaker selected in Speakers_in_Recordings]"))</f>
        <v>SUD_2023_Speaker4</v>
      </c>
      <c r="E501" s="17" t="str" cm="1">
        <f t="array" ref="E501">_xlfn.TEXTJOIN(", ", TRUE(), _xlfn._xlws.FILTER(Sbcts_Rcrdngs[Subject],Sbcts_Rcrdngs[Recording]=Rcrdngs[[#This Row],[Text]],"[no subject selected in Subjects_in_Recordings]"))</f>
        <v>[no subject selected in Subjects_in_Recordings]</v>
      </c>
      <c r="F501" s="18">
        <v>44995</v>
      </c>
      <c r="G501" s="19" t="s">
        <v>862</v>
      </c>
      <c r="H501" s="19" t="s">
        <v>274</v>
      </c>
      <c r="I501" s="19" t="s">
        <v>46</v>
      </c>
      <c r="J501" s="19"/>
      <c r="K501" s="153"/>
      <c r="L501" s="61"/>
      <c r="M501" s="20" t="s">
        <v>1233</v>
      </c>
      <c r="N501" s="20"/>
      <c r="O501" s="21"/>
      <c r="P501" s="21"/>
      <c r="Q501" s="21"/>
      <c r="R501" s="21"/>
      <c r="S501" s="21"/>
      <c r="T501" s="21"/>
      <c r="U501" s="20" t="s">
        <v>1239</v>
      </c>
      <c r="V501" s="22"/>
      <c r="W501" s="23"/>
      <c r="X501" s="24"/>
      <c r="Y501" s="76" t="s">
        <v>39</v>
      </c>
      <c r="Z501" s="76"/>
      <c r="AA501" s="76"/>
    </row>
    <row r="502" spans="1:27" ht="15" customHeight="1">
      <c r="A502" s="27" t="s">
        <v>1241</v>
      </c>
      <c r="B502" s="27"/>
      <c r="C502" s="28" t="s">
        <v>1231</v>
      </c>
      <c r="D502" s="17" t="str" cm="1">
        <f t="array" ref="D502">_xlfn.TEXTJOIN(", ", TRUE(), _xlfn._xlws.FILTER(Speakers_in_Recordings!$B$2:$B$1502,Speakers_in_Recordings!$A$2:$A$1502=Rcrdngs[[#This Row],[Text]],"[no speaker selected in Speakers_in_Recordings]"))</f>
        <v>SUD_2023_Speaker4</v>
      </c>
      <c r="E502" s="17" t="str" cm="1">
        <f t="array" ref="E502">_xlfn.TEXTJOIN(", ", TRUE(), _xlfn._xlws.FILTER(Sbcts_Rcrdngs[Subject],Sbcts_Rcrdngs[Recording]=Rcrdngs[[#This Row],[Text]],"[no subject selected in Subjects_in_Recordings]"))</f>
        <v>[no subject selected in Subjects_in_Recordings]</v>
      </c>
      <c r="F502" s="18">
        <v>44995</v>
      </c>
      <c r="G502" s="19" t="s">
        <v>1242</v>
      </c>
      <c r="H502" s="19" t="s">
        <v>274</v>
      </c>
      <c r="I502" s="19" t="s">
        <v>46</v>
      </c>
      <c r="J502" s="19"/>
      <c r="K502" s="153"/>
      <c r="L502" s="61"/>
      <c r="M502" s="20" t="s">
        <v>1233</v>
      </c>
      <c r="N502" s="20"/>
      <c r="O502" s="21"/>
      <c r="P502" s="21"/>
      <c r="Q502" s="21"/>
      <c r="R502" s="21"/>
      <c r="S502" s="21"/>
      <c r="T502" s="21"/>
      <c r="U502" s="20" t="s">
        <v>1239</v>
      </c>
      <c r="V502" s="22"/>
      <c r="W502" s="23"/>
      <c r="X502" s="24"/>
      <c r="Y502" s="76" t="s">
        <v>39</v>
      </c>
      <c r="Z502" s="76"/>
      <c r="AA502" s="76"/>
    </row>
    <row r="503" spans="1:27" ht="15" customHeight="1">
      <c r="A503" s="27" t="s">
        <v>1243</v>
      </c>
      <c r="B503" s="27"/>
      <c r="C503" s="28" t="s">
        <v>1231</v>
      </c>
      <c r="D503" s="17" t="str" cm="1">
        <f t="array" ref="D503">_xlfn.TEXTJOIN(", ", TRUE(), _xlfn._xlws.FILTER(Speakers_in_Recordings!$B$2:$B$1502,Speakers_in_Recordings!$A$2:$A$1502=Rcrdngs[[#This Row],[Text]],"[no speaker selected in Speakers_in_Recordings]"))</f>
        <v>SUD_2023_Speaker4</v>
      </c>
      <c r="E503" s="17" t="str" cm="1">
        <f t="array" ref="E503">_xlfn.TEXTJOIN(", ", TRUE(), _xlfn._xlws.FILTER(Sbcts_Rcrdngs[Subject],Sbcts_Rcrdngs[Recording]=Rcrdngs[[#This Row],[Text]],"[no subject selected in Subjects_in_Recordings]"))</f>
        <v>[no subject selected in Subjects_in_Recordings]</v>
      </c>
      <c r="F503" s="18">
        <v>44995</v>
      </c>
      <c r="G503" s="19" t="s">
        <v>72</v>
      </c>
      <c r="H503" s="19" t="s">
        <v>274</v>
      </c>
      <c r="I503" s="19" t="s">
        <v>46</v>
      </c>
      <c r="J503" s="19"/>
      <c r="K503" s="153"/>
      <c r="L503" s="61"/>
      <c r="M503" s="20" t="s">
        <v>1233</v>
      </c>
      <c r="N503" s="20"/>
      <c r="O503" s="21"/>
      <c r="P503" s="21"/>
      <c r="Q503" s="21"/>
      <c r="R503" s="21"/>
      <c r="S503" s="21"/>
      <c r="T503" s="21"/>
      <c r="U503" s="20" t="s">
        <v>1239</v>
      </c>
      <c r="V503" s="22"/>
      <c r="W503" s="23"/>
      <c r="X503" s="24"/>
      <c r="Y503" s="76" t="s">
        <v>39</v>
      </c>
      <c r="Z503" s="76"/>
      <c r="AA503" s="76"/>
    </row>
    <row r="504" spans="1:27" ht="15" customHeight="1">
      <c r="A504" s="27" t="s">
        <v>1244</v>
      </c>
      <c r="B504" s="27"/>
      <c r="C504" s="28" t="s">
        <v>1231</v>
      </c>
      <c r="D504" s="17" t="str" cm="1">
        <f t="array" ref="D504">_xlfn.TEXTJOIN(", ", TRUE(), _xlfn._xlws.FILTER(Speakers_in_Recordings!$B$2:$B$1502,Speakers_in_Recordings!$A$2:$A$1502=Rcrdngs[[#This Row],[Text]],"[no speaker selected in Speakers_in_Recordings]"))</f>
        <v>SUD_2023_Speaker5</v>
      </c>
      <c r="E504" s="17" t="str" cm="1">
        <f t="array" ref="E504">_xlfn.TEXTJOIN(", ", TRUE(), _xlfn._xlws.FILTER(Sbcts_Rcrdngs[Subject],Sbcts_Rcrdngs[Recording]=Rcrdngs[[#This Row],[Text]],"[no subject selected in Subjects_in_Recordings]"))</f>
        <v>[no subject selected in Subjects_in_Recordings]</v>
      </c>
      <c r="F504" s="18">
        <v>44992</v>
      </c>
      <c r="G504" s="19" t="s">
        <v>1245</v>
      </c>
      <c r="H504" s="19" t="s">
        <v>274</v>
      </c>
      <c r="I504" s="19" t="s">
        <v>46</v>
      </c>
      <c r="J504" s="19"/>
      <c r="K504" s="153"/>
      <c r="L504" s="61"/>
      <c r="M504" s="20" t="s">
        <v>1233</v>
      </c>
      <c r="N504" s="20"/>
      <c r="O504" s="21"/>
      <c r="P504" s="21"/>
      <c r="Q504" s="21"/>
      <c r="R504" s="21"/>
      <c r="S504" s="21"/>
      <c r="T504" s="21"/>
      <c r="U504" s="20" t="s">
        <v>1234</v>
      </c>
      <c r="V504" s="22"/>
      <c r="W504" s="23"/>
      <c r="X504" s="24"/>
      <c r="Y504" s="76" t="s">
        <v>39</v>
      </c>
      <c r="Z504" s="76"/>
      <c r="AA504" s="76"/>
    </row>
    <row r="505" spans="1:27" ht="15" customHeight="1">
      <c r="A505" s="27"/>
      <c r="B505" s="27"/>
      <c r="C505" s="45"/>
      <c r="D505" s="17" t="str" cm="1">
        <f t="array" ref="D505">_xlfn.TEXTJOIN(", ", TRUE(), _xlfn._xlws.FILTER(Speakers_in_Recordings!$B$2:$B$1502,Speakers_in_Recordings!$A$2:$A$1502=Rcrdngs[[#This Row],[Text]],"[no speaker selected in Speakers_in_Recordings]"))</f>
        <v/>
      </c>
      <c r="E505" s="17" t="str" cm="1">
        <f t="array" ref="E505">_xlfn.TEXTJOIN(", ", TRUE(), _xlfn._xlws.FILTER(Sbcts_Rcrdngs[Subject],Sbcts_Rcrdngs[Recording]=Rcrdngs[[#This Row],[Text]],"[no subject selected in Subjects_in_Recordings]"))</f>
        <v/>
      </c>
      <c r="F505" s="18"/>
      <c r="G505" s="19"/>
      <c r="H505" s="19"/>
      <c r="I505" s="19"/>
      <c r="J505" s="19"/>
      <c r="K505" s="153"/>
      <c r="L505" s="61"/>
      <c r="M505" s="20"/>
      <c r="N505" s="20"/>
      <c r="O505" s="21"/>
      <c r="P505" s="21"/>
      <c r="Q505" s="21"/>
      <c r="R505" s="21"/>
      <c r="S505" s="21"/>
      <c r="T505" s="21"/>
      <c r="U505" s="20"/>
      <c r="V505" s="22"/>
      <c r="W505" s="23"/>
      <c r="X505" s="24"/>
      <c r="Y505" s="76"/>
      <c r="Z505" s="76"/>
      <c r="AA505" s="76"/>
    </row>
    <row r="506" spans="1:27" ht="15" customHeight="1">
      <c r="A506" s="27"/>
      <c r="B506" s="27"/>
      <c r="C506" s="45"/>
      <c r="D506" s="17" t="str" cm="1">
        <f t="array" ref="D506">_xlfn.TEXTJOIN(", ", TRUE(), _xlfn._xlws.FILTER(Speakers_in_Recordings!$B$2:$B$1502,Speakers_in_Recordings!$A$2:$A$1502=Rcrdngs[[#This Row],[Text]],"[no speaker selected in Speakers_in_Recordings]"))</f>
        <v/>
      </c>
      <c r="E506" s="17" t="str" cm="1">
        <f t="array" ref="E506">_xlfn.TEXTJOIN(", ", TRUE(), _xlfn._xlws.FILTER(Sbcts_Rcrdngs[Subject],Sbcts_Rcrdngs[Recording]=Rcrdngs[[#This Row],[Text]],"[no subject selected in Subjects_in_Recordings]"))</f>
        <v/>
      </c>
      <c r="F506" s="18"/>
      <c r="G506" s="19"/>
      <c r="H506" s="19"/>
      <c r="I506" s="19"/>
      <c r="J506" s="19"/>
      <c r="K506" s="153"/>
      <c r="L506" s="61"/>
      <c r="M506" s="20"/>
      <c r="N506" s="20"/>
      <c r="O506" s="21"/>
      <c r="P506" s="21"/>
      <c r="Q506" s="21"/>
      <c r="R506" s="21"/>
      <c r="S506" s="21"/>
      <c r="T506" s="21"/>
      <c r="U506" s="20"/>
      <c r="V506" s="22"/>
      <c r="W506" s="23"/>
      <c r="X506" s="24"/>
      <c r="Y506" s="76"/>
      <c r="Z506" s="76"/>
      <c r="AA506" s="76"/>
    </row>
    <row r="507" spans="1:27" ht="15" customHeight="1">
      <c r="A507" s="27"/>
      <c r="B507" s="27"/>
      <c r="C507" s="45"/>
      <c r="D507" s="17" t="str" cm="1">
        <f t="array" ref="D507">_xlfn.TEXTJOIN(", ", TRUE(), _xlfn._xlws.FILTER(Speakers_in_Recordings!$B$2:$B$1502,Speakers_in_Recordings!$A$2:$A$1502=Rcrdngs[[#This Row],[Text]],"[no speaker selected in Speakers_in_Recordings]"))</f>
        <v/>
      </c>
      <c r="E507" s="17" t="str" cm="1">
        <f t="array" ref="E507">_xlfn.TEXTJOIN(", ", TRUE(), _xlfn._xlws.FILTER(Sbcts_Rcrdngs[Subject],Sbcts_Rcrdngs[Recording]=Rcrdngs[[#This Row],[Text]],"[no subject selected in Subjects_in_Recordings]"))</f>
        <v/>
      </c>
      <c r="F507" s="18"/>
      <c r="G507" s="19"/>
      <c r="H507" s="19"/>
      <c r="I507" s="19"/>
      <c r="J507" s="19"/>
      <c r="K507" s="153"/>
      <c r="L507" s="61"/>
      <c r="M507" s="20"/>
      <c r="N507" s="20"/>
      <c r="O507" s="21"/>
      <c r="P507" s="21"/>
      <c r="Q507" s="21"/>
      <c r="R507" s="21"/>
      <c r="S507" s="21"/>
      <c r="T507" s="21"/>
      <c r="U507" s="20"/>
      <c r="V507" s="22"/>
      <c r="W507" s="23"/>
      <c r="X507" s="24"/>
      <c r="Y507" s="76"/>
      <c r="Z507" s="76"/>
      <c r="AA507" s="76"/>
    </row>
    <row r="508" spans="1:27" ht="15" customHeight="1">
      <c r="A508" s="27"/>
      <c r="B508" s="27"/>
      <c r="C508" s="45"/>
      <c r="D508" s="17" t="str" cm="1">
        <f t="array" ref="D508">_xlfn.TEXTJOIN(", ", TRUE(), _xlfn._xlws.FILTER(Speakers_in_Recordings!$B$2:$B$1502,Speakers_in_Recordings!$A$2:$A$1502=Rcrdngs[[#This Row],[Text]],"[no speaker selected in Speakers_in_Recordings]"))</f>
        <v/>
      </c>
      <c r="E508" s="17" t="str" cm="1">
        <f t="array" ref="E508">_xlfn.TEXTJOIN(", ", TRUE(), _xlfn._xlws.FILTER(Sbcts_Rcrdngs[Subject],Sbcts_Rcrdngs[Recording]=Rcrdngs[[#This Row],[Text]],"[no subject selected in Subjects_in_Recordings]"))</f>
        <v/>
      </c>
      <c r="F508" s="18"/>
      <c r="G508" s="19"/>
      <c r="H508" s="19"/>
      <c r="I508" s="19"/>
      <c r="J508" s="19"/>
      <c r="K508" s="153"/>
      <c r="L508" s="61"/>
      <c r="M508" s="20"/>
      <c r="N508" s="20"/>
      <c r="O508" s="21"/>
      <c r="P508" s="21"/>
      <c r="Q508" s="21"/>
      <c r="R508" s="21"/>
      <c r="S508" s="21"/>
      <c r="T508" s="21"/>
      <c r="U508" s="20"/>
      <c r="V508" s="22"/>
      <c r="W508" s="23"/>
      <c r="X508" s="24"/>
      <c r="Y508" s="76"/>
      <c r="Z508" s="76"/>
      <c r="AA508" s="76"/>
    </row>
    <row r="509" spans="1:27" ht="15" customHeight="1">
      <c r="A509" s="27"/>
      <c r="B509" s="27"/>
      <c r="C509" s="45"/>
      <c r="D509" s="17" t="str" cm="1">
        <f t="array" ref="D509">_xlfn.TEXTJOIN(", ", TRUE(), _xlfn._xlws.FILTER(Speakers_in_Recordings!$B$2:$B$1502,Speakers_in_Recordings!$A$2:$A$1502=Rcrdngs[[#This Row],[Text]],"[no speaker selected in Speakers_in_Recordings]"))</f>
        <v/>
      </c>
      <c r="E509" s="17" t="str" cm="1">
        <f t="array" ref="E509">_xlfn.TEXTJOIN(", ", TRUE(), _xlfn._xlws.FILTER(Sbcts_Rcrdngs[Subject],Sbcts_Rcrdngs[Recording]=Rcrdngs[[#This Row],[Text]],"[no subject selected in Subjects_in_Recordings]"))</f>
        <v/>
      </c>
      <c r="F509" s="18"/>
      <c r="G509" s="19"/>
      <c r="H509" s="19"/>
      <c r="I509" s="19"/>
      <c r="J509" s="19"/>
      <c r="K509" s="153"/>
      <c r="L509" s="61"/>
      <c r="M509" s="20"/>
      <c r="N509" s="20"/>
      <c r="O509" s="21"/>
      <c r="P509" s="21"/>
      <c r="Q509" s="21"/>
      <c r="R509" s="21"/>
      <c r="S509" s="21"/>
      <c r="T509" s="21"/>
      <c r="U509" s="20"/>
      <c r="V509" s="22"/>
      <c r="W509" s="23"/>
      <c r="X509" s="24"/>
      <c r="Y509" s="76"/>
      <c r="Z509" s="76"/>
      <c r="AA509" s="76"/>
    </row>
    <row r="510" spans="1:27" ht="15" customHeight="1">
      <c r="A510" s="27"/>
      <c r="B510" s="27"/>
      <c r="C510" s="45"/>
      <c r="D510" s="17" t="str" cm="1">
        <f t="array" ref="D510">_xlfn.TEXTJOIN(", ", TRUE(), _xlfn._xlws.FILTER(Speakers_in_Recordings!$B$2:$B$1502,Speakers_in_Recordings!$A$2:$A$1502=Rcrdngs[[#This Row],[Text]],"[no speaker selected in Speakers_in_Recordings]"))</f>
        <v/>
      </c>
      <c r="E510" s="17" t="str" cm="1">
        <f t="array" ref="E510">_xlfn.TEXTJOIN(", ", TRUE(), _xlfn._xlws.FILTER(Sbcts_Rcrdngs[Subject],Sbcts_Rcrdngs[Recording]=Rcrdngs[[#This Row],[Text]],"[no subject selected in Subjects_in_Recordings]"))</f>
        <v/>
      </c>
      <c r="F510" s="18"/>
      <c r="G510" s="19"/>
      <c r="H510" s="19"/>
      <c r="I510" s="19"/>
      <c r="J510" s="19"/>
      <c r="K510" s="153"/>
      <c r="L510" s="61"/>
      <c r="M510" s="20"/>
      <c r="N510" s="20"/>
      <c r="O510" s="21"/>
      <c r="P510" s="21"/>
      <c r="Q510" s="21"/>
      <c r="R510" s="21"/>
      <c r="S510" s="21"/>
      <c r="T510" s="21"/>
      <c r="U510" s="20"/>
      <c r="V510" s="22"/>
      <c r="W510" s="23"/>
      <c r="X510" s="24"/>
      <c r="Y510" s="76"/>
      <c r="Z510" s="76"/>
      <c r="AA510" s="76"/>
    </row>
    <row r="511" spans="1:27" ht="15" customHeight="1">
      <c r="A511" s="27"/>
      <c r="B511" s="27"/>
      <c r="C511" s="45"/>
      <c r="D511" s="17" t="str" cm="1">
        <f t="array" ref="D511">_xlfn.TEXTJOIN(", ", TRUE(), _xlfn._xlws.FILTER(Speakers_in_Recordings!$B$2:$B$1502,Speakers_in_Recordings!$A$2:$A$1502=Rcrdngs[[#This Row],[Text]],"[no speaker selected in Speakers_in_Recordings]"))</f>
        <v/>
      </c>
      <c r="E511" s="17" t="str" cm="1">
        <f t="array" ref="E511">_xlfn.TEXTJOIN(", ", TRUE(), _xlfn._xlws.FILTER(Sbcts_Rcrdngs[Subject],Sbcts_Rcrdngs[Recording]=Rcrdngs[[#This Row],[Text]],"[no subject selected in Subjects_in_Recordings]"))</f>
        <v/>
      </c>
      <c r="F511" s="18"/>
      <c r="G511" s="19"/>
      <c r="H511" s="19"/>
      <c r="I511" s="19"/>
      <c r="J511" s="19"/>
      <c r="K511" s="153"/>
      <c r="L511" s="61"/>
      <c r="M511" s="20"/>
      <c r="N511" s="20"/>
      <c r="O511" s="21"/>
      <c r="P511" s="21"/>
      <c r="Q511" s="21"/>
      <c r="R511" s="21"/>
      <c r="S511" s="21"/>
      <c r="T511" s="21"/>
      <c r="U511" s="20"/>
      <c r="V511" s="22"/>
      <c r="W511" s="23"/>
      <c r="X511" s="24"/>
      <c r="Y511" s="76"/>
      <c r="Z511" s="76"/>
      <c r="AA511" s="76"/>
    </row>
    <row r="512" spans="1:27" ht="15" customHeight="1">
      <c r="A512" s="27"/>
      <c r="B512" s="27"/>
      <c r="C512" s="45"/>
      <c r="D512" s="17" t="str" cm="1">
        <f t="array" ref="D512">_xlfn.TEXTJOIN(", ", TRUE(), _xlfn._xlws.FILTER(Speakers_in_Recordings!$B$2:$B$1502,Speakers_in_Recordings!$A$2:$A$1502=Rcrdngs[[#This Row],[Text]],"[no speaker selected in Speakers_in_Recordings]"))</f>
        <v/>
      </c>
      <c r="E512" s="17" t="str" cm="1">
        <f t="array" ref="E512">_xlfn.TEXTJOIN(", ", TRUE(), _xlfn._xlws.FILTER(Sbcts_Rcrdngs[Subject],Sbcts_Rcrdngs[Recording]=Rcrdngs[[#This Row],[Text]],"[no subject selected in Subjects_in_Recordings]"))</f>
        <v/>
      </c>
      <c r="F512" s="18"/>
      <c r="G512" s="19"/>
      <c r="H512" s="19"/>
      <c r="I512" s="19"/>
      <c r="J512" s="19"/>
      <c r="K512" s="153"/>
      <c r="L512" s="61"/>
      <c r="M512" s="20"/>
      <c r="N512" s="20"/>
      <c r="O512" s="21"/>
      <c r="P512" s="21"/>
      <c r="Q512" s="21"/>
      <c r="R512" s="21"/>
      <c r="S512" s="21"/>
      <c r="T512" s="21"/>
      <c r="U512" s="20"/>
      <c r="V512" s="22"/>
      <c r="W512" s="23"/>
      <c r="X512" s="24"/>
      <c r="Y512" s="76"/>
      <c r="Z512" s="76"/>
      <c r="AA512" s="76"/>
    </row>
    <row r="513" spans="1:27" ht="15" customHeight="1">
      <c r="A513" s="27"/>
      <c r="B513" s="27"/>
      <c r="C513" s="45"/>
      <c r="D513" s="17" t="str" cm="1">
        <f t="array" ref="D513">_xlfn.TEXTJOIN(", ", TRUE(), _xlfn._xlws.FILTER(Speakers_in_Recordings!$B$2:$B$1502,Speakers_in_Recordings!$A$2:$A$1502=Rcrdngs[[#This Row],[Text]],"[no speaker selected in Speakers_in_Recordings]"))</f>
        <v/>
      </c>
      <c r="E513" s="17" t="str" cm="1">
        <f t="array" ref="E513">_xlfn.TEXTJOIN(", ", TRUE(), _xlfn._xlws.FILTER(Sbcts_Rcrdngs[Subject],Sbcts_Rcrdngs[Recording]=Rcrdngs[[#This Row],[Text]],"[no subject selected in Subjects_in_Recordings]"))</f>
        <v/>
      </c>
      <c r="F513" s="18"/>
      <c r="G513" s="19"/>
      <c r="H513" s="19"/>
      <c r="I513" s="19"/>
      <c r="J513" s="19"/>
      <c r="K513" s="153"/>
      <c r="L513" s="61"/>
      <c r="M513" s="20"/>
      <c r="N513" s="20"/>
      <c r="O513" s="21"/>
      <c r="P513" s="21"/>
      <c r="Q513" s="21"/>
      <c r="R513" s="21"/>
      <c r="S513" s="21"/>
      <c r="T513" s="21"/>
      <c r="U513" s="20"/>
      <c r="V513" s="22"/>
      <c r="W513" s="23"/>
      <c r="X513" s="24"/>
      <c r="Y513" s="76"/>
      <c r="Z513" s="76"/>
      <c r="AA513" s="76"/>
    </row>
  </sheetData>
  <conditionalFormatting sqref="D2:E513">
    <cfRule type="beginsWith" dxfId="47" priority="17" operator="beginsWith" text="[no">
      <formula>LEFT(D2,LEN("[no"))="[no"</formula>
    </cfRule>
  </conditionalFormatting>
  <dataValidations count="13">
    <dataValidation type="list" allowBlank="1" showInputMessage="1" showErrorMessage="1" sqref="N514:N1048576" xr:uid="{0EFEC9C9-C240-40DA-8DBE-E763A82D8241}">
      <formula1>INDIRECT("Team[Full Name]")</formula1>
    </dataValidation>
    <dataValidation type="list" allowBlank="1" showInputMessage="1" showErrorMessage="1" sqref="B29:B31 A481 B228 B264 B262 B258:B259 B254 B252 B248:B249 B240:B241 B234 B207:B226 B267 B272:B461 B122:B205 B472:B513 B2:B26 B34:B76 B78:B120" xr:uid="{82E5E54F-F9DF-4986-AE9A-C8462859CF6F}">
      <formula1>INDIRECT("Rcrdngs[Text]")</formula1>
    </dataValidation>
    <dataValidation type="list" errorStyle="warning" allowBlank="1" showInputMessage="1" showErrorMessage="1" sqref="C496:C513 C2:C480" xr:uid="{B8E24CAE-03BF-40E4-A22A-71AE4236A495}">
      <formula1>INDIRECT("Campaigns[Campaign]")</formula1>
    </dataValidation>
    <dataValidation type="list" allowBlank="1" showInputMessage="1" showErrorMessage="1" sqref="H425:H507 H296:H314 H316:H320 H322:H328 H330:H333 H335:H419 H2:H294" xr:uid="{90238BD6-E3E3-49A2-909D-566A2C0CDC9E}">
      <formula1>"audio_transcription, audio, transcription"</formula1>
    </dataValidation>
    <dataValidation type="list" allowBlank="1" showInputMessage="1" showErrorMessage="1" sqref="I322:J328 I330:J333 I296:J320 I449:J471 I472:I502 I335:J406 I2:J294" xr:uid="{5DF2DAAB-ECD7-4600-B2D7-0A46A00D1C5F}">
      <formula1>"public, restricted"</formula1>
    </dataValidation>
    <dataValidation allowBlank="1" showInputMessage="1" showErrorMessage="1" sqref="AA277:AA294 AA296:AA314 AA316:AA320 AA322:AA328 AA330:AA333 AA335:AA368 AA371:AA377 AA379:AA380 AA382:AA418 AA420:AA447" xr:uid="{2B842E24-1249-4063-BE8B-43F3C7225248}"/>
    <dataValidation type="list" allowBlank="1" showInputMessage="1" showErrorMessage="1" sqref="C481:C482" xr:uid="{11ADA785-6147-4FB9-8395-3D73719876E8}">
      <formula1>INDIRECT("Campaigns[Campaign]")</formula1>
    </dataValidation>
    <dataValidation type="date" allowBlank="1" showInputMessage="1" showErrorMessage="1" sqref="F496:F1048576 F1:F482" xr:uid="{09BD3D80-5607-44BF-B38F-E6951B494828}">
      <formula1>29221</formula1>
      <formula2>47848</formula2>
    </dataValidation>
    <dataValidation type="list" allowBlank="1" showInputMessage="1" showErrorMessage="1" sqref="Z253 Y2:Y513" xr:uid="{6424DE5E-34B6-403A-B29C-94553D2612B7}">
      <formula1>"Free Speech, WIBARAB Questionnaire, Elicitation, Other elicitations"</formula1>
    </dataValidation>
    <dataValidation type="list" allowBlank="1" showInputMessage="1" showErrorMessage="1" sqref="L2:L477" xr:uid="{4E96436D-A648-42FD-A48C-DE5BBE4724D8}">
      <formula1>INDIRECT("Status[Status]")</formula1>
    </dataValidation>
    <dataValidation type="list" allowBlank="1" showInputMessage="1" showErrorMessage="1" sqref="N2:N513 M1:M1048576 O1:T1048576" xr:uid="{21A6AE92-1511-4D78-8DDF-76C18D5B5F9A}">
      <formula1>INDIRECT("Team[persName]")</formula1>
    </dataValidation>
    <dataValidation type="list" allowBlank="1" showInputMessage="1" showErrorMessage="1" sqref="U1:U1048576" xr:uid="{C1BE7D1B-3BCC-46BF-B6AB-52A4CD1EDB0D}">
      <formula1>INDIRECT("Plcs[Placename]")</formula1>
    </dataValidation>
    <dataValidation type="list" allowBlank="1" showInputMessage="1" showErrorMessage="1" sqref="K2:K513" xr:uid="{A1A9D416-71A9-49D3-AFB4-3075770FDC02}">
      <formula1>"work in progress, finalised"</formula1>
    </dataValidation>
  </dataValidations>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8EB50-03E5-46DF-800F-2794D2D2EA68}">
  <dimension ref="A1:H22"/>
  <sheetViews>
    <sheetView workbookViewId="0">
      <selection activeCell="D2" sqref="D2"/>
    </sheetView>
  </sheetViews>
  <sheetFormatPr defaultColWidth="8.7109375" defaultRowHeight="14.45"/>
  <cols>
    <col min="1" max="1" width="13" bestFit="1" customWidth="1"/>
    <col min="2" max="2" width="11.7109375" bestFit="1" customWidth="1"/>
    <col min="3" max="3" width="48.85546875" bestFit="1" customWidth="1"/>
    <col min="4" max="4" width="50.140625" bestFit="1" customWidth="1"/>
    <col min="5" max="5" width="23.85546875" bestFit="1" customWidth="1"/>
    <col min="6" max="6" width="80.7109375" bestFit="1" customWidth="1"/>
    <col min="7" max="8" width="20" bestFit="1" customWidth="1"/>
    <col min="9" max="9" width="48.85546875" bestFit="1" customWidth="1"/>
    <col min="10" max="10" width="50.140625" bestFit="1" customWidth="1"/>
    <col min="11" max="11" width="23.85546875" bestFit="1" customWidth="1"/>
    <col min="12" max="12" width="80.7109375" bestFit="1" customWidth="1"/>
    <col min="13" max="13" width="24.140625" bestFit="1" customWidth="1"/>
    <col min="14" max="14" width="25.42578125" bestFit="1" customWidth="1"/>
    <col min="15" max="15" width="14.28515625" bestFit="1" customWidth="1"/>
    <col min="16" max="16" width="11.140625" bestFit="1" customWidth="1"/>
  </cols>
  <sheetData>
    <row r="1" spans="1:7">
      <c r="A1" t="s">
        <v>1246</v>
      </c>
      <c r="B1" t="s">
        <v>1247</v>
      </c>
      <c r="C1" t="s">
        <v>1248</v>
      </c>
      <c r="D1" t="s">
        <v>1249</v>
      </c>
      <c r="E1" t="s">
        <v>1250</v>
      </c>
      <c r="F1" t="s">
        <v>1251</v>
      </c>
      <c r="G1" t="s">
        <v>1252</v>
      </c>
    </row>
    <row r="2" spans="1:7">
      <c r="A2" t="s">
        <v>1253</v>
      </c>
      <c r="B2" t="s">
        <v>1254</v>
      </c>
      <c r="C2" t="s">
        <v>1255</v>
      </c>
      <c r="D2" t="s">
        <v>1256</v>
      </c>
      <c r="E2" t="s">
        <v>1257</v>
      </c>
      <c r="G2" t="s">
        <v>834</v>
      </c>
    </row>
    <row r="3" spans="1:7">
      <c r="A3" t="s">
        <v>1258</v>
      </c>
      <c r="B3" t="s">
        <v>1259</v>
      </c>
      <c r="C3" t="s">
        <v>1255</v>
      </c>
      <c r="D3" t="s">
        <v>1260</v>
      </c>
      <c r="E3" t="s">
        <v>1261</v>
      </c>
      <c r="F3" t="s">
        <v>1262</v>
      </c>
      <c r="G3" t="s">
        <v>36</v>
      </c>
    </row>
    <row r="4" spans="1:7">
      <c r="A4" t="s">
        <v>1263</v>
      </c>
      <c r="B4" t="s">
        <v>1264</v>
      </c>
      <c r="C4" t="s">
        <v>1255</v>
      </c>
      <c r="D4" t="s">
        <v>1265</v>
      </c>
      <c r="E4" t="s">
        <v>1266</v>
      </c>
      <c r="F4" t="s">
        <v>1267</v>
      </c>
      <c r="G4" t="s">
        <v>1268</v>
      </c>
    </row>
    <row r="5" spans="1:7">
      <c r="A5" t="s">
        <v>1269</v>
      </c>
      <c r="B5" t="s">
        <v>1270</v>
      </c>
      <c r="C5" t="s">
        <v>1255</v>
      </c>
      <c r="D5" t="s">
        <v>1271</v>
      </c>
      <c r="E5" t="s">
        <v>1266</v>
      </c>
      <c r="F5" t="s">
        <v>1267</v>
      </c>
      <c r="G5" t="s">
        <v>1233</v>
      </c>
    </row>
    <row r="6" spans="1:7">
      <c r="A6" t="s">
        <v>1272</v>
      </c>
      <c r="B6" t="s">
        <v>1273</v>
      </c>
      <c r="C6" t="s">
        <v>1255</v>
      </c>
      <c r="D6" t="s">
        <v>1274</v>
      </c>
      <c r="E6" t="s">
        <v>1275</v>
      </c>
      <c r="F6" t="s">
        <v>1276</v>
      </c>
      <c r="G6" t="s">
        <v>833</v>
      </c>
    </row>
    <row r="7" spans="1:7">
      <c r="A7" t="s">
        <v>1277</v>
      </c>
      <c r="B7" t="s">
        <v>1278</v>
      </c>
      <c r="C7" t="s">
        <v>1255</v>
      </c>
      <c r="D7" t="s">
        <v>1279</v>
      </c>
      <c r="E7" t="s">
        <v>1275</v>
      </c>
      <c r="F7" t="s">
        <v>1280</v>
      </c>
      <c r="G7" t="s">
        <v>1281</v>
      </c>
    </row>
    <row r="8" spans="1:7">
      <c r="A8" t="s">
        <v>1282</v>
      </c>
      <c r="B8" t="s">
        <v>1283</v>
      </c>
      <c r="C8" t="s">
        <v>1255</v>
      </c>
      <c r="D8" t="s">
        <v>1284</v>
      </c>
      <c r="E8" t="s">
        <v>1261</v>
      </c>
      <c r="F8" t="s">
        <v>1285</v>
      </c>
      <c r="G8" t="s">
        <v>1114</v>
      </c>
    </row>
    <row r="9" spans="1:7">
      <c r="A9" t="s">
        <v>1286</v>
      </c>
      <c r="B9" t="s">
        <v>1287</v>
      </c>
      <c r="C9" t="s">
        <v>1255</v>
      </c>
      <c r="D9" t="s">
        <v>1288</v>
      </c>
      <c r="E9" t="s">
        <v>1261</v>
      </c>
      <c r="F9" t="s">
        <v>1289</v>
      </c>
      <c r="G9" t="s">
        <v>1190</v>
      </c>
    </row>
    <row r="10" spans="1:7">
      <c r="A10" t="s">
        <v>1290</v>
      </c>
      <c r="B10" t="s">
        <v>1291</v>
      </c>
      <c r="C10" t="s">
        <v>1255</v>
      </c>
      <c r="D10" t="s">
        <v>1292</v>
      </c>
      <c r="E10" t="s">
        <v>1261</v>
      </c>
      <c r="F10" t="s">
        <v>1293</v>
      </c>
      <c r="G10" t="s">
        <v>933</v>
      </c>
    </row>
    <row r="11" spans="1:7">
      <c r="A11" t="s">
        <v>1294</v>
      </c>
      <c r="B11" t="s">
        <v>1295</v>
      </c>
      <c r="C11" t="s">
        <v>1255</v>
      </c>
      <c r="D11" t="s">
        <v>1296</v>
      </c>
      <c r="E11" t="s">
        <v>1261</v>
      </c>
      <c r="F11" t="s">
        <v>1297</v>
      </c>
      <c r="G11" t="s">
        <v>35</v>
      </c>
    </row>
    <row r="12" spans="1:7">
      <c r="A12" t="s">
        <v>1298</v>
      </c>
      <c r="B12" t="s">
        <v>1299</v>
      </c>
      <c r="C12" t="s">
        <v>1300</v>
      </c>
      <c r="D12" t="s">
        <v>1301</v>
      </c>
      <c r="E12" t="s">
        <v>1302</v>
      </c>
      <c r="F12" t="s">
        <v>1303</v>
      </c>
      <c r="G12" t="s">
        <v>1304</v>
      </c>
    </row>
    <row r="13" spans="1:7">
      <c r="A13" t="s">
        <v>1305</v>
      </c>
      <c r="B13" t="s">
        <v>1306</v>
      </c>
      <c r="C13" t="s">
        <v>1255</v>
      </c>
      <c r="D13" t="s">
        <v>1307</v>
      </c>
      <c r="E13" t="s">
        <v>1266</v>
      </c>
      <c r="F13" t="s">
        <v>1267</v>
      </c>
      <c r="G13" t="s">
        <v>1308</v>
      </c>
    </row>
    <row r="14" spans="1:7">
      <c r="A14" t="s">
        <v>1309</v>
      </c>
      <c r="B14" t="s">
        <v>1310</v>
      </c>
      <c r="C14" t="s">
        <v>1255</v>
      </c>
      <c r="D14" t="s">
        <v>1311</v>
      </c>
      <c r="E14" t="s">
        <v>1266</v>
      </c>
      <c r="F14" t="s">
        <v>1267</v>
      </c>
      <c r="G14" t="s">
        <v>1312</v>
      </c>
    </row>
    <row r="15" spans="1:7">
      <c r="A15" t="s">
        <v>1313</v>
      </c>
      <c r="B15" t="s">
        <v>1314</v>
      </c>
      <c r="C15" t="s">
        <v>1300</v>
      </c>
      <c r="D15" t="s">
        <v>1315</v>
      </c>
      <c r="E15" t="s">
        <v>1316</v>
      </c>
      <c r="G15" t="s">
        <v>1317</v>
      </c>
    </row>
    <row r="16" spans="1:7">
      <c r="A16" t="s">
        <v>1318</v>
      </c>
      <c r="B16" t="s">
        <v>1319</v>
      </c>
      <c r="C16" t="s">
        <v>1300</v>
      </c>
      <c r="D16" t="s">
        <v>1320</v>
      </c>
      <c r="E16" t="s">
        <v>1302</v>
      </c>
      <c r="G16" t="s">
        <v>1321</v>
      </c>
    </row>
    <row r="17" spans="1:8">
      <c r="A17" t="s">
        <v>1322</v>
      </c>
      <c r="B17" t="s">
        <v>1323</v>
      </c>
      <c r="C17" t="s">
        <v>1300</v>
      </c>
      <c r="D17" t="s">
        <v>1324</v>
      </c>
      <c r="E17" t="s">
        <v>1302</v>
      </c>
      <c r="F17" t="s">
        <v>1325</v>
      </c>
      <c r="G17" t="s">
        <v>1326</v>
      </c>
    </row>
    <row r="18" spans="1:8">
      <c r="A18" t="s">
        <v>1327</v>
      </c>
      <c r="B18" t="s">
        <v>1328</v>
      </c>
      <c r="C18" t="s">
        <v>1300</v>
      </c>
      <c r="D18" t="s">
        <v>1329</v>
      </c>
      <c r="E18" t="s">
        <v>1330</v>
      </c>
      <c r="F18" t="s">
        <v>1331</v>
      </c>
      <c r="G18" t="s">
        <v>1332</v>
      </c>
    </row>
    <row r="19" spans="1:8">
      <c r="A19" t="s">
        <v>1333</v>
      </c>
      <c r="B19" t="s">
        <v>1334</v>
      </c>
      <c r="C19" t="s">
        <v>1300</v>
      </c>
      <c r="D19" t="s">
        <v>1335</v>
      </c>
      <c r="E19" t="s">
        <v>1336</v>
      </c>
      <c r="F19" t="s">
        <v>1337</v>
      </c>
      <c r="G19" t="s">
        <v>1338</v>
      </c>
    </row>
    <row r="20" spans="1:8">
      <c r="A20" t="s">
        <v>1339</v>
      </c>
      <c r="B20" t="s">
        <v>1340</v>
      </c>
      <c r="C20" t="s">
        <v>1300</v>
      </c>
      <c r="D20" t="s">
        <v>1341</v>
      </c>
      <c r="E20" t="s">
        <v>1330</v>
      </c>
      <c r="F20" t="s">
        <v>1342</v>
      </c>
      <c r="G20" t="s">
        <v>1343</v>
      </c>
    </row>
    <row r="21" spans="1:8">
      <c r="H21" s="12" t="s">
        <v>1344</v>
      </c>
    </row>
    <row r="22" spans="1:8">
      <c r="H22" s="12" t="s">
        <v>1345</v>
      </c>
    </row>
  </sheetData>
  <phoneticPr fontId="1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D9541-A289-4F6A-9127-568A8C45BCE4}">
  <dimension ref="A1:B8"/>
  <sheetViews>
    <sheetView workbookViewId="0">
      <selection activeCell="A10" sqref="A10"/>
    </sheetView>
  </sheetViews>
  <sheetFormatPr defaultColWidth="8.7109375" defaultRowHeight="14.45"/>
  <cols>
    <col min="1" max="1" width="18.140625" bestFit="1" customWidth="1"/>
    <col min="2" max="2" width="68.28515625" bestFit="1" customWidth="1"/>
  </cols>
  <sheetData>
    <row r="1" spans="1:2">
      <c r="A1" t="s">
        <v>11</v>
      </c>
      <c r="B1" t="s">
        <v>1346</v>
      </c>
    </row>
    <row r="2" spans="1:2">
      <c r="A2" t="s">
        <v>529</v>
      </c>
      <c r="B2" t="s">
        <v>1347</v>
      </c>
    </row>
    <row r="3" spans="1:2">
      <c r="A3" t="s">
        <v>1348</v>
      </c>
      <c r="B3" t="s">
        <v>1349</v>
      </c>
    </row>
    <row r="4" spans="1:2">
      <c r="A4" t="s">
        <v>34</v>
      </c>
      <c r="B4" t="s">
        <v>1350</v>
      </c>
    </row>
    <row r="5" spans="1:2">
      <c r="A5" t="s">
        <v>1351</v>
      </c>
      <c r="B5" t="s">
        <v>1352</v>
      </c>
    </row>
    <row r="6" spans="1:2">
      <c r="A6" t="s">
        <v>524</v>
      </c>
      <c r="B6" t="s">
        <v>1353</v>
      </c>
    </row>
    <row r="7" spans="1:2">
      <c r="A7" t="s">
        <v>1354</v>
      </c>
      <c r="B7" t="s">
        <v>1355</v>
      </c>
    </row>
    <row r="8" spans="1:2">
      <c r="A8" t="s">
        <v>1356</v>
      </c>
      <c r="B8" t="s">
        <v>1357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41"/>
  <sheetViews>
    <sheetView workbookViewId="0">
      <pane xSplit="1" topLeftCell="B147" activePane="topRight" state="frozen"/>
      <selection pane="topRight" activeCell="A153" sqref="A153"/>
    </sheetView>
  </sheetViews>
  <sheetFormatPr defaultColWidth="8.7109375" defaultRowHeight="15" customHeight="1"/>
  <cols>
    <col min="1" max="1" width="41.5703125" customWidth="1"/>
    <col min="2" max="2" width="15" customWidth="1"/>
    <col min="3" max="3" width="15.7109375" customWidth="1"/>
    <col min="4" max="5" width="18.7109375" customWidth="1"/>
    <col min="6" max="6" width="28.5703125" customWidth="1"/>
    <col min="7" max="8" width="18.7109375" customWidth="1"/>
    <col min="9" max="9" width="87.28515625" customWidth="1"/>
    <col min="10" max="10" width="43.7109375" style="9" customWidth="1"/>
    <col min="11" max="12" width="23.5703125" customWidth="1"/>
    <col min="13" max="13" width="28.140625" customWidth="1"/>
    <col min="14" max="14" width="51.5703125" bestFit="1" customWidth="1"/>
    <col min="15" max="15" width="33.42578125" customWidth="1"/>
  </cols>
  <sheetData>
    <row r="1" spans="1:15" ht="14.45">
      <c r="A1" t="s">
        <v>3</v>
      </c>
      <c r="B1" t="s">
        <v>1358</v>
      </c>
      <c r="C1" t="s">
        <v>1359</v>
      </c>
      <c r="D1" t="s">
        <v>1360</v>
      </c>
      <c r="E1" t="s">
        <v>1361</v>
      </c>
      <c r="F1" t="s">
        <v>1362</v>
      </c>
      <c r="G1" t="s">
        <v>1363</v>
      </c>
      <c r="H1" t="s">
        <v>1364</v>
      </c>
      <c r="I1" t="s">
        <v>1365</v>
      </c>
      <c r="J1" t="s">
        <v>1366</v>
      </c>
      <c r="K1" t="s">
        <v>1367</v>
      </c>
      <c r="L1" t="s">
        <v>1368</v>
      </c>
      <c r="M1" t="s">
        <v>1369</v>
      </c>
      <c r="N1" t="s">
        <v>1370</v>
      </c>
      <c r="O1" t="s">
        <v>1371</v>
      </c>
    </row>
    <row r="2" spans="1:15" ht="14.45">
      <c r="A2" t="s">
        <v>1372</v>
      </c>
      <c r="B2" t="s">
        <v>1373</v>
      </c>
      <c r="C2" t="s">
        <v>1374</v>
      </c>
      <c r="D2" s="60" t="s">
        <v>1375</v>
      </c>
      <c r="E2" s="105" t="s">
        <v>1376</v>
      </c>
      <c r="F2" s="60"/>
      <c r="H2" t="s">
        <v>1377</v>
      </c>
      <c r="I2" t="s">
        <v>1378</v>
      </c>
      <c r="J2" s="9" t="str" cm="1">
        <f t="array" ref="J2">_xlfn.TEXTJOIN(", ",TRUE(),_xlfn._xlws.FILTER(Speakers_in_Recordings!$A$2:$A$1502,Speakers_in_Recordings!$B$2:$B$1502=_xlfn.SINGLE(Spkrs[Speaker]),"N/A"))</f>
        <v>SAU_2022_Speaker10_marriage_1, SAU_2022_Speaker10_marriage_2</v>
      </c>
      <c r="K2" t="s">
        <v>1379</v>
      </c>
    </row>
    <row r="3" spans="1:15">
      <c r="A3" t="s">
        <v>1380</v>
      </c>
      <c r="B3" s="108" t="s">
        <v>1373</v>
      </c>
      <c r="C3" t="s">
        <v>1381</v>
      </c>
      <c r="E3" s="105" t="s">
        <v>1382</v>
      </c>
      <c r="H3" t="s">
        <v>1377</v>
      </c>
      <c r="J3" s="9" t="str" cm="1">
        <f t="array" ref="J3">_xlfn.TEXTJOIN(", ",TRUE(),_xlfn._xlws.FILTER(Speakers_in_Recordings!$A$2:$A$1502,Speakers_in_Recordings!$B$2:$B$1502=_xlfn.SINGLE(Spkrs[Speaker]),"N/A"))</f>
        <v>SAU_2022_Speaker20_traditionaltools, SAU_2022_Speaker20_shepherd, SAU_2022_Speaker20_traditionalaccessories, SAU_2022_Speaker20_traditionalkitchen, SAU_2022_Speaker20_moretraditionalthings</v>
      </c>
      <c r="K3" t="s">
        <v>1379</v>
      </c>
    </row>
    <row r="4" spans="1:15">
      <c r="A4" t="s">
        <v>1383</v>
      </c>
      <c r="B4" t="s">
        <v>1373</v>
      </c>
      <c r="C4" t="s">
        <v>1381</v>
      </c>
      <c r="E4" s="105" t="s">
        <v>1384</v>
      </c>
      <c r="H4" t="s">
        <v>1377</v>
      </c>
      <c r="I4" t="s">
        <v>1385</v>
      </c>
      <c r="J4" s="9" t="str" cm="1">
        <f t="array" ref="J4">_xlfn.TEXTJOIN(", ",TRUE(),_xlfn._xlws.FILTER(Speakers_in_Recordings!$A$2:$A$1502,Speakers_in_Recordings!$B$2:$B$1502=_xlfn.SINGLE(Spkrs[Speaker]),"N/A"))</f>
        <v>SAU_2022_Speaker19_market</v>
      </c>
      <c r="K4" t="s">
        <v>1379</v>
      </c>
    </row>
    <row r="5" spans="1:15">
      <c r="A5" t="s">
        <v>1386</v>
      </c>
      <c r="B5" s="171" t="s">
        <v>1387</v>
      </c>
      <c r="C5" t="s">
        <v>1381</v>
      </c>
      <c r="E5" s="105" t="s">
        <v>1384</v>
      </c>
      <c r="H5" t="s">
        <v>1377</v>
      </c>
      <c r="I5" t="s">
        <v>1388</v>
      </c>
      <c r="J5" s="9" t="str" cm="1">
        <f t="array" ref="J5">_xlfn.TEXTJOIN(", ",TRUE(),_xlfn._xlws.FILTER(Speakers_in_Recordings!$A$2:$A$1502,Speakers_in_Recordings!$B$2:$B$1502=_xlfn.SINGLE(Spkrs[Speaker]),"N/A"))</f>
        <v>SAU_2022_Speaker20_traditionaltools, SAU_2022_Speaker20_traditionalkitchen, SAU_2022_Speaker20_moretraditionalthings</v>
      </c>
    </row>
    <row r="6" spans="1:15" ht="14.45">
      <c r="A6" t="s">
        <v>1389</v>
      </c>
      <c r="B6" t="s">
        <v>1373</v>
      </c>
      <c r="C6" t="s">
        <v>1381</v>
      </c>
      <c r="D6">
        <v>1960</v>
      </c>
      <c r="E6" s="105" t="s">
        <v>1390</v>
      </c>
      <c r="H6" t="s">
        <v>1377</v>
      </c>
      <c r="I6" t="s">
        <v>1391</v>
      </c>
      <c r="J6" s="9" t="str" cm="1">
        <f t="array" ref="J6">_xlfn.TEXTJOIN(", ",TRUE(),_xlfn._xlws.FILTER(Speakers_in_Recordings!$A$2:$A$1502,Speakers_in_Recordings!$B$2:$B$1502=_xlfn.SINGLE(Spkrs[Speaker]),"N/A"))</f>
        <v>SAU_2022_Speaker20_traditionaltools, SAU_2022_Speaker20_traditionalkitchen, SAU_2022_Speaker20_moretraditionalthings, SAU_2022_Speaker47_games_pets, SAU_2022_Speaker9_qasida, SAU_2022_Speaker9_family_school, SAU_2022_Speaker25_poetry_recital, SAU_2022_Speaker43_tribe_abs, SAU_2022_Speaker43_conversation, SAU_2022_Speaker24_qasida_reading, SAU_2022_Speaker9_camels_1, SAU_2022_Speaker9_camels_2, SAU_2022_Speaker9_camels_3, SAU_2022_Speaker9_camels_4, SAU_2022_Speaker9_camels_5, SAU_2022_Speaker9_camels_6, SAU_2022_Speaker44_falcons_1, SAU_2022_Speaker44_falcons_2, SAU_2022_Speaker9_poetry_1, SAU_2022_Speaker21_interviews, SAU_2022_Speaker50_interviews, SAU_2022_Speaker51_interviews, SAU_2022_Speaker52_interviews, SAU_2022_Speaker28_conversation_Oldman_1, SAU_2022_Speaker28_conversation_Oldman_2, SAU_2022_Speaker28_conversation_Oldman_4, SAU_2022_Speaker28_conversation_Oldman_5</v>
      </c>
      <c r="K6" t="s">
        <v>1379</v>
      </c>
      <c r="N6" t="s">
        <v>1392</v>
      </c>
    </row>
    <row r="7" spans="1:15">
      <c r="A7" t="s">
        <v>1393</v>
      </c>
      <c r="B7" s="171" t="s">
        <v>1387</v>
      </c>
      <c r="C7" t="s">
        <v>1381</v>
      </c>
      <c r="E7" s="105" t="s">
        <v>1394</v>
      </c>
      <c r="H7" t="s">
        <v>1377</v>
      </c>
      <c r="I7" t="s">
        <v>1395</v>
      </c>
      <c r="J7" s="9" t="str" cm="1">
        <f t="array" ref="J7">_xlfn.TEXTJOIN(", ",TRUE(),_xlfn._xlws.FILTER(Speakers_in_Recordings!$A$2:$A$1502,Speakers_in_Recordings!$B$2:$B$1502=_xlfn.SINGLE(Spkrs[Speaker]),"N/A"))</f>
        <v>SAU_2022_Speaker19_market</v>
      </c>
    </row>
    <row r="8" spans="1:15" ht="14.45">
      <c r="A8" t="s">
        <v>1396</v>
      </c>
      <c r="B8" s="108" t="s">
        <v>1373</v>
      </c>
      <c r="C8" t="s">
        <v>1374</v>
      </c>
      <c r="D8">
        <v>1980</v>
      </c>
      <c r="E8" s="105" t="s">
        <v>1397</v>
      </c>
      <c r="H8" t="s">
        <v>1377</v>
      </c>
      <c r="I8" t="s">
        <v>1398</v>
      </c>
      <c r="J8" s="9" t="str" cm="1">
        <f t="array" ref="J8">_xlfn.TEXTJOIN(", ",TRUE(),_xlfn._xlws.FILTER(Speakers_in_Recordings!$A$2:$A$1502,Speakers_in_Recordings!$B$2:$B$1502=_xlfn.SINGLE(Spkrs[Speaker]),"N/A"))</f>
        <v>SAU_2022_Speaker14_childhood_womenswork, SAU_2022_Speaker14_houses_education, SAU_2022_Speaker14_education_2, SAU_2022_Speaker14_childhood, SAU_2022_Speaker14_weddings_2, SAU_2022_Speaker14_weddings_1, SAU_2022_Speaker14_education_girls_1, SAU_2022_Speaker14_education_girls_2, SAU_2022_Speaker14_education_girls_3_driving, SAU_2022_Speaker14_Weaving_1, SAU_2022_Speaker14_Weaving_weddings, SAU_2022_Speaker14_5, SAU_2022_Speaker14_6, SAU_2022_Speaker14_7, SAU_2022_Speaker14_8, SAU_2022_Speaker14_9, SAU_2022_Speaker14_10, SAU_2022_Speaker14_11, SAU_2022_Speaker14_12, SAU_2022_Speaker14_15, SAU_2022_Speaker14_16, SAU_2022_Speaker14_17, SAU_2022_Speaker14_Weaving_4, SAU_2022_Speaker14_coffee_women, SAU_2022_Speaker14_conversationWomen</v>
      </c>
      <c r="K8" s="64" t="s">
        <v>1379</v>
      </c>
    </row>
    <row r="9" spans="1:15">
      <c r="A9" t="s">
        <v>1399</v>
      </c>
      <c r="B9" s="171" t="s">
        <v>1387</v>
      </c>
      <c r="C9" t="s">
        <v>1374</v>
      </c>
      <c r="E9" s="105" t="s">
        <v>1400</v>
      </c>
      <c r="H9" t="s">
        <v>1377</v>
      </c>
      <c r="I9" t="s">
        <v>1401</v>
      </c>
      <c r="J9" s="9" t="str" cm="1">
        <f t="array" ref="J9">_xlfn.TEXTJOIN(", ",TRUE(),_xlfn._xlws.FILTER(Speakers_in_Recordings!$A$2:$A$1502,Speakers_in_Recordings!$B$2:$B$1502=_xlfn.SINGLE(Spkrs[Speaker]),"N/A"))</f>
        <v>SAU_2022_Speaker14_houses_education, SAU_2022_Speaker14_education_2, SAU_2022_Speaker14_weddings_2, SAU_2022_Speaker14_weddings_1</v>
      </c>
    </row>
    <row r="10" spans="1:15">
      <c r="A10" t="s">
        <v>1402</v>
      </c>
      <c r="B10" s="171" t="s">
        <v>1373</v>
      </c>
      <c r="E10" s="105" t="s">
        <v>1400</v>
      </c>
      <c r="J10" s="9" t="str" cm="1">
        <f t="array" ref="J10">_xlfn.TEXTJOIN(", ",TRUE(),_xlfn._xlws.FILTER(Speakers_in_Recordings!$A$2:$A$1502,Speakers_in_Recordings!$B$2:$B$1502=_xlfn.SINGLE(Spkrs[Speaker]),"N/A"))</f>
        <v>SAU_2022_Speaker10_marriage_1, SAU_2022_Speaker20_traditionalaccessories, SAU_2022_Speaker20_traditionalkitchen, SAU_2022_Speaker20_moretraditionalthings, SAU_2022_Speaker14_childhood_womenswork, SAU_2022_Speaker14_houses_education, SAU_2022_Speaker14_education_2, SAU_2022_Speaker14_childhood, SAU_2022_Speaker14_weddings_2, SAU_2022_Speaker14_weddings_1, SAU_2022_Speaker14_education_girls_1, SAU_2022_Speaker14_education_girls_2, SAU_2022_Speaker14_education_girls_3_driving, SAU_2022_Speaker10_marriage_2, SAU_2022_Speaker19_market, SAU_2022_Speaker47_games_pets, SAU_2022_Speaker37_childhood, SAU_2022_Speaker37_childhood2_marriage, SAU_2022_Speaker37_camel, SAU_2022_Speaker37_food_3eyb_haram, SAU_2022_Speaker37_3eyb_haram_2, SAU_2022_Speaker37_henna, SAU_2022_Speaker14_Weaving_1, SAU_2022_Speaker14_Weaving_weddings, SAU_2022_Speaker44_falcons_1, SAU_2022_Speaker44_falcons_2, SAU_2022_Speaker28_conversation_Oldman_1, SAU_2022_Speaker28_conversation_Oldman_2, SAU_2022_Speaker28_conversation_Oldman_3, SAU_2022_Speaker28_conversation_Oldman_4, SAU_2022_Speaker28_conversation_Oldman_5</v>
      </c>
      <c r="K10" s="64"/>
    </row>
    <row r="11" spans="1:15">
      <c r="A11" s="77" t="s">
        <v>1403</v>
      </c>
      <c r="B11" s="172" t="s">
        <v>1387</v>
      </c>
      <c r="C11" t="s">
        <v>1374</v>
      </c>
      <c r="E11" s="105" t="s">
        <v>1400</v>
      </c>
      <c r="H11" t="s">
        <v>1377</v>
      </c>
      <c r="I11" t="s">
        <v>1404</v>
      </c>
      <c r="J11" s="9" t="str" cm="1">
        <f t="array" ref="J11">_xlfn.TEXTJOIN(", ",TRUE(),_xlfn._xlws.FILTER(Speakers_in_Recordings!$A$2:$A$1502,Speakers_in_Recordings!$B$2:$B$1502=_xlfn.SINGLE(Spkrs[Speaker]),"N/A"))</f>
        <v>SAU_2022_Speaker47_games_pets</v>
      </c>
      <c r="K11" s="64" t="s">
        <v>1379</v>
      </c>
    </row>
    <row r="12" spans="1:15">
      <c r="A12" t="s">
        <v>1405</v>
      </c>
      <c r="B12" s="171" t="s">
        <v>1387</v>
      </c>
      <c r="C12" t="s">
        <v>1374</v>
      </c>
      <c r="E12" s="105" t="s">
        <v>1397</v>
      </c>
      <c r="H12" t="s">
        <v>1377</v>
      </c>
      <c r="I12" t="s">
        <v>1406</v>
      </c>
      <c r="J12" s="9" t="str" cm="1">
        <f t="array" ref="J12">_xlfn.TEXTJOIN(", ",TRUE(),_xlfn._xlws.FILTER(Speakers_in_Recordings!$A$2:$A$1502,Speakers_in_Recordings!$B$2:$B$1502=_xlfn.SINGLE(Spkrs[Speaker]),"N/A"))</f>
        <v>SAU_2022_Speaker47_games_pets</v>
      </c>
      <c r="K12" s="64" t="s">
        <v>1379</v>
      </c>
    </row>
    <row r="13" spans="1:15" ht="14.45">
      <c r="A13" t="s">
        <v>1407</v>
      </c>
      <c r="B13" t="s">
        <v>1373</v>
      </c>
      <c r="C13" t="s">
        <v>1374</v>
      </c>
      <c r="D13">
        <v>1950</v>
      </c>
      <c r="E13" s="105" t="s">
        <v>1382</v>
      </c>
      <c r="H13" t="s">
        <v>1377</v>
      </c>
      <c r="I13" t="s">
        <v>1408</v>
      </c>
      <c r="J13" s="9" t="str" cm="1">
        <f t="array" ref="J13">_xlfn.TEXTJOIN(", ",TRUE(),_xlfn._xlws.FILTER(Speakers_in_Recordings!$A$2:$A$1502,Speakers_in_Recordings!$B$2:$B$1502=_xlfn.SINGLE(Spkrs[Speaker]),"N/A"))</f>
        <v>SAU_2022_Speaker37_childhood, SAU_2022_Speaker37_childhood2_marriage, SAU_2022_Speaker37_camel, SAU_2022_Speaker37_food_3eyb_haram, SAU_2022_Speaker37_3eyb_haram_2, SAU_2022_Speaker37_henna</v>
      </c>
      <c r="K13" s="64" t="s">
        <v>1379</v>
      </c>
    </row>
    <row r="14" spans="1:15">
      <c r="A14" t="s">
        <v>1409</v>
      </c>
      <c r="B14" s="171" t="s">
        <v>1387</v>
      </c>
      <c r="C14" t="s">
        <v>1374</v>
      </c>
      <c r="D14">
        <v>1990</v>
      </c>
      <c r="E14" s="105" t="s">
        <v>1376</v>
      </c>
      <c r="H14" t="s">
        <v>1377</v>
      </c>
      <c r="I14" t="s">
        <v>1410</v>
      </c>
      <c r="J14" s="9" t="str" cm="1">
        <f t="array" ref="J14">_xlfn.TEXTJOIN(", ",TRUE(),_xlfn._xlws.FILTER(Speakers_in_Recordings!$A$2:$A$1502,Speakers_in_Recordings!$B$2:$B$1502=_xlfn.SINGLE(Spkrs[Speaker]),"N/A"))</f>
        <v>SAU_2022_Speaker37_childhood, SAU_2022_Speaker37_childhood2_marriage, SAU_2022_Speaker37_camel, SAU_2022_Speaker37_food_3eyb_haram, SAU_2022_Speaker37_3eyb_haram_2, SAU_2022_Speaker37_henna</v>
      </c>
      <c r="K14" s="64" t="s">
        <v>1379</v>
      </c>
    </row>
    <row r="15" spans="1:15">
      <c r="A15" t="s">
        <v>1411</v>
      </c>
      <c r="B15" s="171" t="s">
        <v>1387</v>
      </c>
      <c r="C15" t="s">
        <v>1374</v>
      </c>
      <c r="D15">
        <v>1980</v>
      </c>
      <c r="E15" s="105" t="s">
        <v>1397</v>
      </c>
      <c r="H15" t="s">
        <v>1377</v>
      </c>
      <c r="I15" t="s">
        <v>1412</v>
      </c>
      <c r="J15" s="9" t="str" cm="1">
        <f t="array" ref="J15">_xlfn.TEXTJOIN(", ",TRUE(),_xlfn._xlws.FILTER(Speakers_in_Recordings!$A$2:$A$1502,Speakers_in_Recordings!$B$2:$B$1502=_xlfn.SINGLE(Spkrs[Speaker]),"N/A"))</f>
        <v>SAU_2022_Speaker14_Weaving_1, SAU_2022_Speaker14_Weaving_weddings</v>
      </c>
      <c r="K15" s="64" t="s">
        <v>1379</v>
      </c>
    </row>
    <row r="16" spans="1:15">
      <c r="A16" t="s">
        <v>1413</v>
      </c>
      <c r="B16" s="171" t="s">
        <v>1387</v>
      </c>
      <c r="C16" t="s">
        <v>1374</v>
      </c>
      <c r="E16" s="105" t="s">
        <v>1382</v>
      </c>
      <c r="H16" t="s">
        <v>1377</v>
      </c>
      <c r="I16" t="s">
        <v>1414</v>
      </c>
      <c r="J16" s="9" t="str" cm="1">
        <f t="array" ref="J16">_xlfn.TEXTJOIN(", ",TRUE(),_xlfn._xlws.FILTER(Speakers_in_Recordings!$A$2:$A$1502,Speakers_in_Recordings!$B$2:$B$1502=_xlfn.SINGLE(Spkrs[Speaker]),"N/A"))</f>
        <v>SAU_2022_Speaker14_Weaving_1, SAU_2022_Speaker14_Weaving_weddings</v>
      </c>
    </row>
    <row r="17" spans="1:14">
      <c r="A17" t="s">
        <v>1415</v>
      </c>
      <c r="B17" s="171" t="s">
        <v>1387</v>
      </c>
      <c r="C17" t="s">
        <v>1374</v>
      </c>
      <c r="E17" t="s">
        <v>1382</v>
      </c>
      <c r="H17" t="s">
        <v>1377</v>
      </c>
      <c r="I17" t="s">
        <v>1416</v>
      </c>
      <c r="J17" s="9" t="str" cm="1">
        <f t="array" ref="J17">_xlfn.TEXTJOIN(", ",TRUE(),_xlfn._xlws.FILTER(Speakers_in_Recordings!$A$2:$A$1502,Speakers_in_Recordings!$B$2:$B$1502=_xlfn.SINGLE(Spkrs[Speaker]),"N/A"))</f>
        <v>SAU_2022_Speaker14_Weaving_weddings</v>
      </c>
    </row>
    <row r="18" spans="1:14" ht="14.45">
      <c r="A18" t="s">
        <v>1417</v>
      </c>
      <c r="B18" t="s">
        <v>1373</v>
      </c>
      <c r="C18" t="s">
        <v>1381</v>
      </c>
      <c r="D18">
        <v>1980</v>
      </c>
      <c r="E18" t="s">
        <v>1397</v>
      </c>
      <c r="H18" t="s">
        <v>1377</v>
      </c>
      <c r="I18" t="s">
        <v>1418</v>
      </c>
      <c r="J18" s="9" t="str" cm="1">
        <f t="array" ref="J18">_xlfn.TEXTJOIN(", ",TRUE(),_xlfn._xlws.FILTER(Speakers_in_Recordings!$A$2:$A$1502,Speakers_in_Recordings!$B$2:$B$1502=_xlfn.SINGLE(Spkrs[Speaker]),"N/A"))</f>
        <v>SAU_2022_Speaker22_narrative_historyofBaniKhaled, SAU_2022_Speaker22_rashaydasudan, SAU_2022_Speaker22_informationaboutpoets, SAU_2022_Speaker22_prophetSaleh</v>
      </c>
      <c r="K18" t="s">
        <v>1419</v>
      </c>
    </row>
    <row r="19" spans="1:14" ht="14.45">
      <c r="A19" t="s">
        <v>1420</v>
      </c>
      <c r="B19" t="s">
        <v>1373</v>
      </c>
      <c r="C19" t="s">
        <v>1381</v>
      </c>
      <c r="D19">
        <v>1975</v>
      </c>
      <c r="E19" t="s">
        <v>1384</v>
      </c>
      <c r="H19" t="s">
        <v>1377</v>
      </c>
      <c r="I19" t="s">
        <v>1421</v>
      </c>
      <c r="J19" s="9" t="str" cm="1">
        <f t="array" ref="J19">_xlfn.TEXTJOIN(", ",TRUE(),_xlfn._xlws.FILTER(Speakers_in_Recordings!$A$2:$A$1502,Speakers_in_Recordings!$B$2:$B$1502=_xlfn.SINGLE(Spkrs[Speaker]),"N/A"))</f>
        <v>SAU_2022_Speaker46_history</v>
      </c>
      <c r="K19" t="s">
        <v>1419</v>
      </c>
    </row>
    <row r="20" spans="1:14" ht="14.45">
      <c r="A20" t="s">
        <v>1422</v>
      </c>
      <c r="B20" t="s">
        <v>1373</v>
      </c>
      <c r="C20" t="s">
        <v>1381</v>
      </c>
      <c r="D20">
        <v>1970</v>
      </c>
      <c r="E20" t="s">
        <v>1384</v>
      </c>
      <c r="H20" t="s">
        <v>1377</v>
      </c>
      <c r="I20" t="s">
        <v>1423</v>
      </c>
      <c r="J20" s="9" t="str" cm="1">
        <f t="array" ref="J20">_xlfn.TEXTJOIN(", ",TRUE(),_xlfn._xlws.FILTER(Speakers_in_Recordings!$A$2:$A$1502,Speakers_in_Recordings!$B$2:$B$1502=_xlfn.SINGLE(Spkrs[Speaker]),"N/A"))</f>
        <v>SAU_2022_Speaker12_poem, SAU_2022_Speaker12_praise, SAU_2022_Speaker12_song</v>
      </c>
      <c r="K20" t="s">
        <v>1379</v>
      </c>
      <c r="N20" t="s">
        <v>1424</v>
      </c>
    </row>
    <row r="21" spans="1:14" ht="14.45">
      <c r="A21" t="s">
        <v>1425</v>
      </c>
      <c r="B21" t="s">
        <v>1373</v>
      </c>
      <c r="C21" t="s">
        <v>1381</v>
      </c>
      <c r="E21" t="s">
        <v>1384</v>
      </c>
      <c r="F21" t="s">
        <v>1426</v>
      </c>
      <c r="H21" t="s">
        <v>1377</v>
      </c>
      <c r="I21" t="s">
        <v>1427</v>
      </c>
      <c r="J21" s="9" t="str" cm="1">
        <f t="array" ref="J21">_xlfn.TEXTJOIN(", ",TRUE(),_xlfn._xlws.FILTER(Speakers_in_Recordings!$A$2:$A$1502,Speakers_in_Recordings!$B$2:$B$1502=_xlfn.SINGLE(Spkrs[Speaker]),"N/A"))</f>
        <v>SAU_2022_Speaker42_qasida</v>
      </c>
      <c r="K21" t="s">
        <v>1379</v>
      </c>
      <c r="N21" t="s">
        <v>1428</v>
      </c>
    </row>
    <row r="22" spans="1:14" ht="14.45">
      <c r="A22" t="s">
        <v>1429</v>
      </c>
      <c r="B22" t="s">
        <v>1373</v>
      </c>
      <c r="C22" t="s">
        <v>1374</v>
      </c>
      <c r="D22">
        <v>1990</v>
      </c>
      <c r="E22" t="s">
        <v>1376</v>
      </c>
      <c r="H22" t="s">
        <v>1377</v>
      </c>
      <c r="I22" t="s">
        <v>1430</v>
      </c>
      <c r="J22" s="9" t="str" cm="1">
        <f t="array" ref="J22">_xlfn.TEXTJOIN(", ",TRUE(),_xlfn._xlws.FILTER(Speakers_in_Recordings!$A$2:$A$1502,Speakers_in_Recordings!$B$2:$B$1502=_xlfn.SINGLE(Spkrs[Speaker]),"N/A"))</f>
        <v>SAU_2022_Speaker8_conversationWomen_1, SAU_2022_Speaker8_conversationWomen_2, SAU_2022_Speaker8_conversationWomen_3</v>
      </c>
      <c r="K22" t="s">
        <v>1379</v>
      </c>
      <c r="N22" t="s">
        <v>1431</v>
      </c>
    </row>
    <row r="23" spans="1:14" ht="14.45">
      <c r="A23" t="s">
        <v>1432</v>
      </c>
      <c r="B23" t="s">
        <v>1373</v>
      </c>
      <c r="C23" t="s">
        <v>1381</v>
      </c>
      <c r="D23">
        <v>1990</v>
      </c>
      <c r="E23" t="s">
        <v>1376</v>
      </c>
      <c r="F23" t="s">
        <v>1433</v>
      </c>
      <c r="H23" t="s">
        <v>1377</v>
      </c>
      <c r="I23" t="s">
        <v>1434</v>
      </c>
      <c r="J23" s="9" t="str" cm="1">
        <f t="array" ref="J23">_xlfn.TEXTJOIN(", ",TRUE(),_xlfn._xlws.FILTER(Speakers_in_Recordings!$A$2:$A$1502,Speakers_in_Recordings!$B$2:$B$1502=_xlfn.SINGLE(Spkrs[Speaker]),"N/A"))</f>
        <v>SAU_2022_Speaker6_conversation_dialect</v>
      </c>
      <c r="K23" t="s">
        <v>1379</v>
      </c>
      <c r="N23" t="s">
        <v>1431</v>
      </c>
    </row>
    <row r="24" spans="1:14" ht="14.45">
      <c r="A24" t="s">
        <v>1435</v>
      </c>
      <c r="B24" s="108" t="s">
        <v>1373</v>
      </c>
      <c r="C24" t="s">
        <v>1374</v>
      </c>
      <c r="D24">
        <v>2000</v>
      </c>
      <c r="E24" t="s">
        <v>1400</v>
      </c>
      <c r="F24" t="s">
        <v>1433</v>
      </c>
      <c r="H24" t="s">
        <v>1377</v>
      </c>
      <c r="I24" t="s">
        <v>1436</v>
      </c>
      <c r="J24" s="9" t="str" cm="1">
        <f t="array" ref="J24">_xlfn.TEXTJOIN(", ",TRUE(),_xlfn._xlws.FILTER(Speakers_in_Recordings!$A$2:$A$1502,Speakers_in_Recordings!$B$2:$B$1502=_xlfn.SINGLE(Spkrs[Speaker]),"N/A"))</f>
        <v>SAU_2022_Speaker47_games_pets, SAU_2022_Speaker9_family_school</v>
      </c>
      <c r="K24" t="s">
        <v>1379</v>
      </c>
      <c r="N24" t="s">
        <v>1437</v>
      </c>
    </row>
    <row r="25" spans="1:14" ht="14.45">
      <c r="A25" t="s">
        <v>1438</v>
      </c>
      <c r="B25" t="s">
        <v>1373</v>
      </c>
      <c r="C25" t="s">
        <v>1381</v>
      </c>
      <c r="E25" t="s">
        <v>1376</v>
      </c>
      <c r="H25" t="s">
        <v>1377</v>
      </c>
      <c r="I25" t="s">
        <v>1439</v>
      </c>
      <c r="J25" s="9" t="str" cm="1">
        <f t="array" ref="J25">_xlfn.TEXTJOIN(", ",TRUE(),_xlfn._xlws.FILTER(Speakers_in_Recordings!$A$2:$A$1502,Speakers_in_Recordings!$B$2:$B$1502=_xlfn.SINGLE(Spkrs[Speaker]),"N/A"))</f>
        <v>SAU_2022_Speaker25_poetry_recital</v>
      </c>
      <c r="K25" t="s">
        <v>1379</v>
      </c>
      <c r="N25" t="s">
        <v>1440</v>
      </c>
    </row>
    <row r="26" spans="1:14" ht="14.45">
      <c r="A26" t="s">
        <v>1441</v>
      </c>
      <c r="B26" t="s">
        <v>1373</v>
      </c>
      <c r="C26" t="s">
        <v>1381</v>
      </c>
      <c r="E26" t="s">
        <v>1394</v>
      </c>
      <c r="H26" t="s">
        <v>1377</v>
      </c>
      <c r="I26" t="s">
        <v>1442</v>
      </c>
      <c r="J26" s="9" t="str" cm="1">
        <f t="array" ref="J26">_xlfn.TEXTJOIN(", ",TRUE(),_xlfn._xlws.FILTER(Speakers_in_Recordings!$A$2:$A$1502,Speakers_in_Recordings!$B$2:$B$1502=_xlfn.SINGLE(Spkrs[Speaker]),"N/A"))</f>
        <v>SAU_2022_Speaker43_tribe_abs, SAU_2022_Speaker43_conversation</v>
      </c>
      <c r="K26" t="s">
        <v>1379</v>
      </c>
      <c r="N26" t="s">
        <v>1440</v>
      </c>
    </row>
    <row r="27" spans="1:14" ht="14.45">
      <c r="A27" t="s">
        <v>1443</v>
      </c>
      <c r="B27" t="s">
        <v>1373</v>
      </c>
      <c r="C27" t="s">
        <v>1381</v>
      </c>
      <c r="D27">
        <v>1960</v>
      </c>
      <c r="E27" t="s">
        <v>1390</v>
      </c>
      <c r="F27" t="s">
        <v>1433</v>
      </c>
      <c r="H27" t="s">
        <v>1377</v>
      </c>
      <c r="J27" s="9" t="str" cm="1">
        <f t="array" ref="J27">_xlfn.TEXTJOIN(", ",TRUE(),_xlfn._xlws.FILTER(Speakers_in_Recordings!$A$2:$A$1502,Speakers_in_Recordings!$B$2:$B$1502=_xlfn.SINGLE(Spkrs[Speaker]),"N/A"))</f>
        <v>SAU_2022_Speaker24_qasida_reading</v>
      </c>
      <c r="K27" t="s">
        <v>1379</v>
      </c>
    </row>
    <row r="28" spans="1:14" ht="14.45">
      <c r="A28" t="s">
        <v>1444</v>
      </c>
      <c r="B28" t="s">
        <v>1373</v>
      </c>
      <c r="C28" t="s">
        <v>1381</v>
      </c>
      <c r="D28">
        <v>1942</v>
      </c>
      <c r="E28" t="s">
        <v>1445</v>
      </c>
      <c r="F28" t="s">
        <v>1433</v>
      </c>
      <c r="H28" t="s">
        <v>1377</v>
      </c>
      <c r="I28" t="s">
        <v>1446</v>
      </c>
      <c r="J28" s="9" t="str" cm="1">
        <f t="array" ref="J28">_xlfn.TEXTJOIN(", ",TRUE(),_xlfn._xlws.FILTER(Speakers_in_Recordings!$A$2:$A$1502,Speakers_in_Recordings!$B$2:$B$1502=_xlfn.SINGLE(Spkrs[Speaker]),"N/A"))</f>
        <v>SAU_2022_Speaker28_conversation_Oldman, SAU_2022_Speaker28_conversation_Oldman_1, SAU_2022_Speaker28_conversation_Oldman_2, SAU_2022_Speaker28_conversation_Oldman_3, SAU_2022_Speaker28_conversation_Oldman_4, SAU_2022_Speaker28_conversation_Oldman_5</v>
      </c>
      <c r="K28" t="s">
        <v>1379</v>
      </c>
    </row>
    <row r="29" spans="1:14" ht="14.45">
      <c r="A29" t="s">
        <v>1447</v>
      </c>
      <c r="B29" t="s">
        <v>1373</v>
      </c>
      <c r="C29" t="s">
        <v>1381</v>
      </c>
      <c r="D29">
        <v>1960</v>
      </c>
      <c r="E29" t="s">
        <v>1390</v>
      </c>
      <c r="F29" t="s">
        <v>1433</v>
      </c>
      <c r="H29" t="s">
        <v>1377</v>
      </c>
      <c r="J29" s="9" t="str" cm="1">
        <f t="array" ref="J29">_xlfn.TEXTJOIN(", ",TRUE(),_xlfn._xlws.FILTER(Speakers_in_Recordings!$A$2:$A$1502,Speakers_in_Recordings!$B$2:$B$1502=_xlfn.SINGLE(Spkrs[Speaker]),"N/A"))</f>
        <v>SAU_2022_Speaker29_interviews_1</v>
      </c>
      <c r="K29" t="s">
        <v>1379</v>
      </c>
    </row>
    <row r="30" spans="1:14" ht="14.45">
      <c r="A30" t="s">
        <v>1448</v>
      </c>
      <c r="B30" t="s">
        <v>1373</v>
      </c>
      <c r="C30" t="s">
        <v>1381</v>
      </c>
      <c r="D30">
        <v>1959</v>
      </c>
      <c r="E30" t="s">
        <v>1390</v>
      </c>
      <c r="H30" t="s">
        <v>1377</v>
      </c>
      <c r="I30" t="s">
        <v>1449</v>
      </c>
      <c r="J30" s="9" t="str" cm="1">
        <f t="array" ref="J30">_xlfn.TEXTJOIN(", ",TRUE(),_xlfn._xlws.FILTER(Speakers_in_Recordings!$A$2:$A$1502,Speakers_in_Recordings!$B$2:$B$1502=_xlfn.SINGLE(Spkrs[Speaker]),"N/A"))</f>
        <v>SAU_2022_Speaker21_interviews</v>
      </c>
      <c r="K30" t="s">
        <v>1379</v>
      </c>
    </row>
    <row r="31" spans="1:14" ht="14.45">
      <c r="A31" t="s">
        <v>1450</v>
      </c>
      <c r="B31" t="s">
        <v>1373</v>
      </c>
      <c r="C31" t="s">
        <v>1381</v>
      </c>
      <c r="D31">
        <v>1955</v>
      </c>
      <c r="E31" t="s">
        <v>1382</v>
      </c>
      <c r="F31" t="s">
        <v>1433</v>
      </c>
      <c r="H31" t="s">
        <v>1377</v>
      </c>
      <c r="J31" s="9" t="str" cm="1">
        <f t="array" ref="J31">_xlfn.TEXTJOIN(", ",TRUE(),_xlfn._xlws.FILTER(Speakers_in_Recordings!$A$2:$A$1502,Speakers_in_Recordings!$B$2:$B$1502=_xlfn.SINGLE(Spkrs[Speaker]),"N/A"))</f>
        <v>SAU_2022_Speaker50_interviews</v>
      </c>
      <c r="K31" t="s">
        <v>1379</v>
      </c>
      <c r="N31" t="s">
        <v>1451</v>
      </c>
    </row>
    <row r="32" spans="1:14" ht="14.45">
      <c r="A32" t="s">
        <v>1452</v>
      </c>
      <c r="B32" t="s">
        <v>1373</v>
      </c>
      <c r="C32" t="s">
        <v>1381</v>
      </c>
      <c r="D32">
        <v>1955</v>
      </c>
      <c r="E32" t="s">
        <v>1382</v>
      </c>
      <c r="F32" t="s">
        <v>1433</v>
      </c>
      <c r="H32" t="s">
        <v>1377</v>
      </c>
      <c r="J32" s="9" t="str" cm="1">
        <f t="array" ref="J32">_xlfn.TEXTJOIN(", ",TRUE(),_xlfn._xlws.FILTER(Speakers_in_Recordings!$A$2:$A$1502,Speakers_in_Recordings!$B$2:$B$1502=_xlfn.SINGLE(Spkrs[Speaker]),"N/A"))</f>
        <v>SAU_2022_Speaker51_interviews</v>
      </c>
      <c r="K32" t="s">
        <v>1379</v>
      </c>
    </row>
    <row r="33" spans="1:14" ht="14.45">
      <c r="A33" t="s">
        <v>1453</v>
      </c>
      <c r="B33" t="s">
        <v>1373</v>
      </c>
      <c r="C33" t="s">
        <v>1381</v>
      </c>
      <c r="D33">
        <v>1950</v>
      </c>
      <c r="E33" t="s">
        <v>1382</v>
      </c>
      <c r="F33" t="s">
        <v>1433</v>
      </c>
      <c r="H33" t="s">
        <v>1377</v>
      </c>
      <c r="J33" s="9" t="str" cm="1">
        <f t="array" ref="J33">_xlfn.TEXTJOIN(", ",TRUE(),_xlfn._xlws.FILTER(Speakers_in_Recordings!$A$2:$A$1502,Speakers_in_Recordings!$B$2:$B$1502=_xlfn.SINGLE(Spkrs[Speaker]),"N/A"))</f>
        <v>SAU_2022_Speaker35_narrativeInt_oldMan</v>
      </c>
      <c r="K33" t="s">
        <v>1379</v>
      </c>
    </row>
    <row r="34" spans="1:14" ht="14.45">
      <c r="A34" t="s">
        <v>1454</v>
      </c>
      <c r="B34" t="s">
        <v>1373</v>
      </c>
      <c r="C34" t="s">
        <v>1381</v>
      </c>
      <c r="D34">
        <v>1950</v>
      </c>
      <c r="E34" t="s">
        <v>1382</v>
      </c>
      <c r="F34" t="s">
        <v>1433</v>
      </c>
      <c r="H34" t="s">
        <v>1377</v>
      </c>
      <c r="I34" t="s">
        <v>1455</v>
      </c>
      <c r="J34" s="9" t="str" cm="1">
        <f t="array" ref="J34">_xlfn.TEXTJOIN(", ",TRUE(),_xlfn._xlws.FILTER(Speakers_in_Recordings!$A$2:$A$1502,Speakers_in_Recordings!$B$2:$B$1502=_xlfn.SINGLE(Spkrs[Speaker]),"N/A"))</f>
        <v>SAU_2022_Speaker32_traditions_1</v>
      </c>
      <c r="K34" t="s">
        <v>1379</v>
      </c>
    </row>
    <row r="35" spans="1:14" ht="14.45">
      <c r="A35" t="s">
        <v>1456</v>
      </c>
      <c r="B35" t="s">
        <v>1373</v>
      </c>
      <c r="C35" t="s">
        <v>1381</v>
      </c>
      <c r="D35">
        <v>1950</v>
      </c>
      <c r="E35" t="s">
        <v>1382</v>
      </c>
      <c r="F35" t="s">
        <v>1433</v>
      </c>
      <c r="H35" t="s">
        <v>1377</v>
      </c>
      <c r="I35" t="s">
        <v>1457</v>
      </c>
      <c r="J35" s="9" t="str" cm="1">
        <f t="array" ref="J35">_xlfn.TEXTJOIN(", ",TRUE(),_xlfn._xlws.FILTER(Speakers_in_Recordings!$A$2:$A$1502,Speakers_in_Recordings!$B$2:$B$1502=_xlfn.SINGLE(Spkrs[Speaker]),"N/A"))</f>
        <v>SAU_2022_Speaker44_falcons_1, SAU_2022_Speaker44_falcons_2</v>
      </c>
      <c r="K35" t="s">
        <v>1379</v>
      </c>
    </row>
    <row r="36" spans="1:14" ht="14.45">
      <c r="A36" t="s">
        <v>1458</v>
      </c>
      <c r="B36" t="s">
        <v>1373</v>
      </c>
      <c r="C36" t="s">
        <v>1381</v>
      </c>
      <c r="E36" t="s">
        <v>1394</v>
      </c>
      <c r="H36" t="s">
        <v>1377</v>
      </c>
      <c r="J36" s="9" t="str" cm="1">
        <f t="array" ref="J36">_xlfn.TEXTJOIN(", ",TRUE(),_xlfn._xlws.FILTER(Speakers_in_Recordings!$A$2:$A$1502,Speakers_in_Recordings!$B$2:$B$1502=_xlfn.SINGLE(Spkrs[Speaker]),"N/A"))</f>
        <v>SAU_2022_Speaker49_OldMan_2</v>
      </c>
      <c r="K36" t="s">
        <v>1379</v>
      </c>
    </row>
    <row r="37" spans="1:14">
      <c r="A37" t="s">
        <v>1459</v>
      </c>
      <c r="B37" s="171" t="s">
        <v>1387</v>
      </c>
      <c r="C37" t="s">
        <v>1381</v>
      </c>
      <c r="E37" t="s">
        <v>1394</v>
      </c>
      <c r="H37" t="s">
        <v>1377</v>
      </c>
      <c r="I37" t="s">
        <v>1460</v>
      </c>
      <c r="J37" s="9" t="str" cm="1">
        <f t="array" ref="J37">_xlfn.TEXTJOIN(", ",TRUE(),_xlfn._xlws.FILTER(Speakers_in_Recordings!$A$2:$A$1502,Speakers_in_Recordings!$B$2:$B$1502=_xlfn.SINGLE(Spkrs[Speaker]),"N/A"))</f>
        <v>SAU_2022_Speaker28_conversation_Oldman_1, SAU_2022_Speaker28_conversation_Oldman_2, SAU_2022_Speaker28_conversation_Oldman_3, SAU_2022_Speaker28_conversation_Oldman_4, SAU_2022_Speaker28_conversation_Oldman_5</v>
      </c>
      <c r="K37" t="s">
        <v>1379</v>
      </c>
      <c r="N37" t="s">
        <v>1461</v>
      </c>
    </row>
    <row r="38" spans="1:14" ht="14.45">
      <c r="J38" s="9" t="e" cm="1">
        <f t="array" ref="J38">_xlfn.TEXTJOIN(", ",TRUE(),_xlfn._xlws.FILTER(#REF!,#REF!=_xlfn.SINGLE(Spkrs[Speaker]),"N/A"))</f>
        <v>#REF!</v>
      </c>
    </row>
    <row r="39" spans="1:14" ht="14.45">
      <c r="A39" t="s">
        <v>1462</v>
      </c>
      <c r="B39" t="s">
        <v>1373</v>
      </c>
      <c r="C39" t="s">
        <v>1374</v>
      </c>
      <c r="D39">
        <v>1980</v>
      </c>
      <c r="E39" t="s">
        <v>1397</v>
      </c>
      <c r="H39" t="s">
        <v>1463</v>
      </c>
      <c r="J39" s="9" t="str" cm="1">
        <f t="array" ref="J39">_xlfn.TEXTJOIN(", ",TRUE(),_xlfn._xlws.FILTER(Speakers_in_Recordings!$A$2:$A$1502,Speakers_in_Recordings!$B$2:$B$1502=_xlfn.SINGLE(Spkrs[Speaker]),"N/A"))</f>
        <v>KUW_2022_Speaker8_neighbourhood, KUW_2022_Speaker8_education, KUW_2022_Speaker8_family, KUW_2022_Speaker8_wedding, KUW_2022_Speaker8_lifedevelopments_cooking, KUW_2022_Speaker8_war_goodandbadexperiences_differenceswithinrashayda, KUW_2022_Speaker8_Elicitations_PictureStories, KUW_2022_Speaker8_Elicitations_TopologicalRelations, KUW_2022_Speaker8_Elicitations_PictureStories_2, KUW_2022_Speaker8_coffeetraditions, KUW_2022_Speaker8_cooking, KUW_2022_Speaker8_traditionalmarket_recipe</v>
      </c>
      <c r="K39" t="s">
        <v>1379</v>
      </c>
    </row>
    <row r="40" spans="1:14" ht="14.45">
      <c r="A40" t="s">
        <v>1464</v>
      </c>
      <c r="B40" t="s">
        <v>1373</v>
      </c>
      <c r="C40" t="s">
        <v>1381</v>
      </c>
      <c r="D40">
        <v>1940</v>
      </c>
      <c r="E40" t="s">
        <v>1445</v>
      </c>
      <c r="H40" t="s">
        <v>1463</v>
      </c>
      <c r="J40" s="9" t="str" cm="1">
        <f t="array" ref="J40">_xlfn.TEXTJOIN(", ",TRUE(),_xlfn._xlws.FILTER(Speakers_in_Recordings!$A$2:$A$1502,Speakers_in_Recordings!$B$2:$B$1502=_xlfn.SINGLE(Spkrs[Speaker]),"N/A"))</f>
        <v>KUW_2022_Speaker12_childhood_1, KUW_2022_Speaker12_childhood_2, KUW_2022_Speaker12_childhood_3, KUW_2022_Speaker12_childhood_4, KUW_2022_Speaker12_childhood_5, KUW_2022_Speaker12_childhood_full</v>
      </c>
      <c r="K40" t="s">
        <v>1379</v>
      </c>
      <c r="L40" s="9"/>
      <c r="M40" s="9"/>
      <c r="N40" s="9"/>
    </row>
    <row r="41" spans="1:14">
      <c r="A41" t="s">
        <v>1465</v>
      </c>
      <c r="B41" s="171" t="s">
        <v>1387</v>
      </c>
      <c r="C41" t="s">
        <v>1381</v>
      </c>
      <c r="E41" t="s">
        <v>1397</v>
      </c>
      <c r="H41" t="s">
        <v>1463</v>
      </c>
      <c r="I41" t="s">
        <v>1388</v>
      </c>
      <c r="J41" s="9" t="str" cm="1">
        <f t="array" ref="J41">_xlfn.TEXTJOIN(", ",TRUE(),_xlfn._xlws.FILTER(Speakers_in_Recordings!$A$2:$A$1502,Speakers_in_Recordings!$B$2:$B$1502=_xlfn.SINGLE(Spkrs[Speaker]),"N/A"))</f>
        <v>KUW_2022_Speaker12_childhood_1, KUW_2022_Speaker12_childhood_2, KUW_2022_Speaker12_childhood_3, KUW_2022_Speaker12_childhood_4, KUW_2022_Speaker12_childhood_5</v>
      </c>
    </row>
    <row r="42" spans="1:14">
      <c r="A42" t="s">
        <v>1466</v>
      </c>
      <c r="B42" s="171" t="s">
        <v>1387</v>
      </c>
      <c r="C42" t="s">
        <v>1381</v>
      </c>
      <c r="E42" t="s">
        <v>1397</v>
      </c>
      <c r="H42" t="s">
        <v>1463</v>
      </c>
      <c r="I42" t="s">
        <v>1388</v>
      </c>
      <c r="J42" s="9" t="str" cm="1">
        <f t="array" ref="J42">_xlfn.TEXTJOIN(", ",TRUE(),_xlfn._xlws.FILTER(Speakers_in_Recordings!$A$2:$A$1502,Speakers_in_Recordings!$B$2:$B$1502=_xlfn.SINGLE(Spkrs[Speaker]),"N/A"))</f>
        <v>KUW_2022_Speaker12_childhood_5</v>
      </c>
    </row>
    <row r="43" spans="1:14" ht="14.45">
      <c r="A43" t="s">
        <v>1467</v>
      </c>
      <c r="B43" t="s">
        <v>1373</v>
      </c>
      <c r="C43" t="s">
        <v>1381</v>
      </c>
      <c r="D43">
        <v>1990</v>
      </c>
      <c r="E43" t="s">
        <v>1376</v>
      </c>
      <c r="H43" t="s">
        <v>1463</v>
      </c>
      <c r="J43" s="9" t="str" cm="1">
        <f t="array" ref="J43">_xlfn.TEXTJOIN(", ",TRUE(),_xlfn._xlws.FILTER(Speakers_in_Recordings!$A$2:$A$1502,Speakers_in_Recordings!$B$2:$B$1502=_xlfn.SINGLE(Spkrs[Speaker]),"N/A"))</f>
        <v>Questionnaire_KUW_2022_Speaker3_Speaker6_Speaker11_1, Questionnaire_KUW_2022_Speaker3_Speaker6_1, Questionnaire_KUW_2022_Speaker3_Speaker6_2, Questionnaire_KUW_2022_Speaker3_Speaker6_3, Questionnaire_KUW_2022_Speaker3_Speaker6_4, Questionnaire_KUW_2022_Speaker3_alone_1</v>
      </c>
      <c r="K43" t="s">
        <v>1379</v>
      </c>
    </row>
    <row r="44" spans="1:14" ht="14.45">
      <c r="A44" t="s">
        <v>1468</v>
      </c>
      <c r="B44" t="s">
        <v>1373</v>
      </c>
      <c r="C44" t="s">
        <v>1381</v>
      </c>
      <c r="D44">
        <v>2000</v>
      </c>
      <c r="E44" t="s">
        <v>1400</v>
      </c>
      <c r="H44" t="s">
        <v>1463</v>
      </c>
      <c r="I44" t="s">
        <v>1469</v>
      </c>
      <c r="J44" s="9" t="str" cm="1">
        <f t="array" ref="J44">_xlfn.TEXTJOIN(", ",TRUE(),_xlfn._xlws.FILTER(Speakers_in_Recordings!$A$2:$A$1502,Speakers_in_Recordings!$B$2:$B$1502=_xlfn.SINGLE(Spkrs[Speaker]),"N/A"))</f>
        <v>KUW_2022_Speaker8_neighbourhood, KUW_2022_Speaker8_lifedevelopments_cooking, KUW_2022_Speaker8_Elicitations_PictureStories_2, KUW_2022_Speaker8_coffeetraditions, KUW_2022_Speaker8_cooking, KUW_2022_Speaker8_traditionalmarket_recipe, Questionnaire_KUW_2022_Speaker3_Speaker6_Speaker11_1, Questionnaire_KUW_2022_Speaker3_Speaker6_1, Questionnaire_KUW_2022_Speaker3_Speaker6_2, Questionnaire_KUW_2022_Speaker3_Speaker6_3, Questionnaire_KUW_2022_Speaker3_Speaker6_4, Questionnaire_KUW_2022_Speaker6_alone_1</v>
      </c>
      <c r="K44" t="s">
        <v>1379</v>
      </c>
    </row>
    <row r="45" spans="1:14" ht="14.45">
      <c r="A45" t="s">
        <v>1470</v>
      </c>
      <c r="B45" t="s">
        <v>1373</v>
      </c>
      <c r="C45" t="s">
        <v>1381</v>
      </c>
      <c r="D45">
        <v>2000</v>
      </c>
      <c r="E45" t="s">
        <v>1400</v>
      </c>
      <c r="H45" t="s">
        <v>1463</v>
      </c>
      <c r="J45" s="9" t="str" cm="1">
        <f t="array" ref="J45">_xlfn.TEXTJOIN(", ",TRUE(),_xlfn._xlws.FILTER(Speakers_in_Recordings!$A$2:$A$1502,Speakers_in_Recordings!$B$2:$B$1502=_xlfn.SINGLE(Spkrs[Speaker]),"N/A"))</f>
        <v>Questionnaire_KUW_2022_Speaker3_Speaker6_Speaker11_1, Questionnaire_KUW_2022_Speaker11_alone_1, Questionnaire_KUW_2022_Speaker11_alone_2</v>
      </c>
      <c r="K45" t="s">
        <v>1379</v>
      </c>
    </row>
    <row r="46" spans="1:14">
      <c r="A46" t="s">
        <v>1471</v>
      </c>
      <c r="B46" s="108" t="s">
        <v>1373</v>
      </c>
      <c r="C46" t="s">
        <v>1381</v>
      </c>
      <c r="D46">
        <v>1940</v>
      </c>
      <c r="E46" t="s">
        <v>1445</v>
      </c>
      <c r="H46" t="s">
        <v>1463</v>
      </c>
      <c r="I46" t="s">
        <v>1472</v>
      </c>
      <c r="J46" s="9" t="str" cm="1">
        <f t="array" ref="J46">_xlfn.TEXTJOIN(", ",TRUE(),_xlfn._xlws.FILTER(Speakers_in_Recordings!$A$2:$A$1502,Speakers_in_Recordings!$B$2:$B$1502=_xlfn.SINGLE(Spkrs[Speaker]),"N/A"))</f>
        <v>KUW_2022_Speaker10_Questionnaire_1, KUW_2022_Speaker10_Questionnaire_2, KUW_2022_Speaker10_Questionnaire_3, KUW_2022_Speaker10_Questionnaire_5, KUW_2022_Speaker10_6, KUW_2022_Speaker10_7</v>
      </c>
      <c r="K46" t="s">
        <v>1379</v>
      </c>
    </row>
    <row r="47" spans="1:14">
      <c r="A47" t="s">
        <v>1473</v>
      </c>
      <c r="B47" s="171" t="s">
        <v>1387</v>
      </c>
      <c r="C47" t="s">
        <v>1381</v>
      </c>
      <c r="E47" t="s">
        <v>1384</v>
      </c>
      <c r="H47" t="s">
        <v>1463</v>
      </c>
      <c r="I47" t="s">
        <v>1474</v>
      </c>
      <c r="J47" s="9" t="str" cm="1">
        <f t="array" ref="J47">_xlfn.TEXTJOIN(", ",TRUE(),_xlfn._xlws.FILTER(Speakers_in_Recordings!$A$2:$A$1502,Speakers_in_Recordings!$B$2:$B$1502=_xlfn.SINGLE(Spkrs[Speaker]),"N/A"))</f>
        <v>KUW_2022_Speaker10_Questionnaire_1, KUW_2022_Speaker10_Questionnaire_2, KUW_2022_Speaker10_Questionnaire_3, KUW_2022_Speaker10_Questionnaire_5</v>
      </c>
    </row>
    <row r="48" spans="1:14">
      <c r="A48" t="s">
        <v>1475</v>
      </c>
      <c r="B48" s="171" t="s">
        <v>1387</v>
      </c>
      <c r="C48" t="s">
        <v>1381</v>
      </c>
      <c r="E48" t="s">
        <v>1384</v>
      </c>
      <c r="H48" t="s">
        <v>1463</v>
      </c>
      <c r="I48" t="s">
        <v>1476</v>
      </c>
      <c r="J48" s="9" t="str" cm="1">
        <f t="array" ref="J48">_xlfn.TEXTJOIN(", ",TRUE(),_xlfn._xlws.FILTER(Speakers_in_Recordings!$A$2:$A$1502,Speakers_in_Recordings!$B$2:$B$1502=_xlfn.SINGLE(Spkrs[Speaker]),"N/A"))</f>
        <v>KUW_2022_Speaker10_Questionnaire_1, KUW_2022_Speaker10_Questionnaire_2, KUW_2022_Speaker10_Questionnaire_3, KUW_2022_Speaker10_Questionnaire_5</v>
      </c>
    </row>
    <row r="49" spans="1:14" ht="14.45">
      <c r="A49" t="s">
        <v>1477</v>
      </c>
      <c r="B49" t="s">
        <v>1373</v>
      </c>
      <c r="C49" t="s">
        <v>1374</v>
      </c>
      <c r="D49">
        <v>1964</v>
      </c>
      <c r="E49" t="s">
        <v>1390</v>
      </c>
      <c r="H49" t="s">
        <v>1463</v>
      </c>
      <c r="I49" t="s">
        <v>1478</v>
      </c>
      <c r="J49" s="9" t="str" cm="1">
        <f t="array" ref="J49">_xlfn.TEXTJOIN(", ",TRUE(),_xlfn._xlws.FILTER(Speakers_in_Recordings!$A$2:$A$1502,Speakers_in_Recordings!$B$2:$B$1502=_xlfn.SINGLE(Spkrs[Speaker]),"N/A"))</f>
        <v>KUW_2022_Speaker13_ConversationXrenig_1_1, KUW_2022_Speaker13_ConversationXrenig_1_2_childhood_slaves, KUW_2022_Speaker13_ConversationXrenig_1_3_slaves_2, KUW_2022_Speaker13_ConversationXrenig_1_5_xrenig_weddingtraditions, KUW_2022_Speaker13_ConversationXrenig_1_6_racism_dialects, KUW_2022_Speaker13_ConversationXrenig_1_7_mothers_secretlanguage, KUW_2022_Speaker13_ConversationXrenig_1_8_henna, KUW_2022_Speaker13_ConversationXrenig_1_9_abaaya_henna_2, KUW_2022_Speaker13_ConversationXrenig_1_10_disagreementbetweenmotheranddaughter, KUW_2022_Speaker13_ConversationXrenig_1_11_predictingpregnancies, KUW_2022_Speaker13_ConversationXrenig_1_12_childbirthprep, KUW_2022_Speaker13_ConversationXrenig_1_13_weddings_dialects, KUW_2022_Speaker13_ConversationXrenig_2</v>
      </c>
      <c r="K49" t="s">
        <v>1379</v>
      </c>
    </row>
    <row r="50" spans="1:14" ht="14.45">
      <c r="A50" t="s">
        <v>1479</v>
      </c>
      <c r="B50" t="s">
        <v>1373</v>
      </c>
      <c r="C50" t="s">
        <v>1374</v>
      </c>
      <c r="D50">
        <v>1980</v>
      </c>
      <c r="E50" t="s">
        <v>1397</v>
      </c>
      <c r="H50" t="s">
        <v>1463</v>
      </c>
      <c r="I50" t="s">
        <v>1480</v>
      </c>
      <c r="J50" s="9" t="str" cm="1">
        <f t="array" ref="J50">_xlfn.TEXTJOIN(", ",TRUE(),_xlfn._xlws.FILTER(Speakers_in_Recordings!$A$2:$A$1502,Speakers_in_Recordings!$B$2:$B$1502=_xlfn.SINGLE(Spkrs[Speaker]),"N/A"))</f>
        <v>KUW_2022_Speaker13_ConversationXrenig_1_1, KUW_2022_Speaker13_ConversationXrenig_1_2_childhood_slaves, KUW_2022_Speaker13_ConversationXrenig_1_3_slaves_2, KUW_2022_Speaker13_ConversationXrenig_1_5_xrenig_weddingtraditions, KUW_2022_Speaker13_ConversationXrenig_1_6_racism_dialects, KUW_2022_Speaker13_ConversationXrenig_1_7_mothers_secretlanguage, KUW_2022_Speaker13_ConversationXrenig_1_8_henna, KUW_2022_Speaker13_ConversationXrenig_1_9_abaaya_henna_2, KUW_2022_Speaker13_ConversationXrenig_1_10_disagreementbetweenmotheranddaughter, KUW_2022_Speaker13_ConversationXrenig_1_11_predictingpregnancies, KUW_2022_Speaker13_ConversationXrenig_1_12_childbirthprep, KUW_2022_Speaker13_ConversationXrenig_1_13_weddings_dialects, KUW_2022_Speaker13_ConversationXrenig_2</v>
      </c>
      <c r="K50" t="s">
        <v>1379</v>
      </c>
    </row>
    <row r="51" spans="1:14" ht="14.45">
      <c r="A51" t="s">
        <v>1481</v>
      </c>
      <c r="B51" s="149" t="s">
        <v>1373</v>
      </c>
      <c r="C51" t="s">
        <v>1381</v>
      </c>
      <c r="D51">
        <v>2000</v>
      </c>
      <c r="E51" t="s">
        <v>1400</v>
      </c>
      <c r="H51" t="s">
        <v>1463</v>
      </c>
      <c r="J51" s="9" t="str" cm="1">
        <f t="array" ref="J51">_xlfn.TEXTJOIN(", ",TRUE(),_xlfn._xlws.FILTER(Speakers_in_Recordings!$A$2:$A$1502,Speakers_in_Recordings!$B$2:$B$1502=_xlfn.SINGLE(Spkrs[Speaker]),"N/A"))</f>
        <v>KUW_2022_Speaker4_TopologicalRelations, KUW_2022_Speaker4_picturestories</v>
      </c>
      <c r="K51" t="s">
        <v>1379</v>
      </c>
    </row>
    <row r="52" spans="1:14" ht="14.45">
      <c r="A52" t="s">
        <v>1482</v>
      </c>
      <c r="B52" s="108" t="s">
        <v>1373</v>
      </c>
      <c r="C52" t="s">
        <v>1381</v>
      </c>
      <c r="E52" t="s">
        <v>1384</v>
      </c>
      <c r="H52" t="s">
        <v>1463</v>
      </c>
      <c r="J52" s="9" t="str" cm="1">
        <f t="array" ref="J52">_xlfn.TEXTJOIN(", ",TRUE(),_xlfn._xlws.FILTER(Speakers_in_Recordings!$A$2:$A$1502,Speakers_in_Recordings!$B$2:$B$1502=_xlfn.SINGLE(Spkrs[Speaker]),"N/A"))</f>
        <v>KUW_2022_Speaker9_interview</v>
      </c>
      <c r="K52" t="s">
        <v>1379</v>
      </c>
    </row>
    <row r="53" spans="1:14" ht="14.45">
      <c r="A53" t="s">
        <v>1483</v>
      </c>
      <c r="B53" s="108" t="s">
        <v>1373</v>
      </c>
      <c r="C53" t="s">
        <v>1374</v>
      </c>
      <c r="E53" t="s">
        <v>1400</v>
      </c>
      <c r="J53" s="9" t="str" cm="1">
        <f t="array" ref="J53">_xlfn.TEXTJOIN(", ",TRUE(),_xlfn._xlws.FILTER(Speakers_in_Recordings!$A$2:$A$1502,Speakers_in_Recordings!$B$2:$B$1502=_xlfn.SINGLE(Spkrs[Speaker]),"N/A"))</f>
        <v>KUW_2022_Speaker8_neighbourhood, KUW_2022_Speaker8_education, KUW_2022_Speaker8_family, KUW_2022_Speaker8_wedding, KUW_2022_Speaker8_lifedevelopments_cooking, KUW_2022_Speaker8_war_goodandbadexperiences_differenceswithinrashayda, KUW_2022_Speaker8_Elicitations_PictureStories, KUW_2022_Speaker8_Elicitations_TopologicalRelations, KUW_2022_Speaker8_Elicitations_PictureStories_2, KUW_2022_Speaker8_coffeetraditions, KUW_2022_Speaker8_cooking, KUW_2022_Speaker8_traditionalmarket_recipe, KUW_2022_Speaker12_childhood_1, KUW_2022_Speaker12_childhood_2, KUW_2022_Speaker12_childhood_3, KUW_2022_Speaker12_childhood_4, KUW_2022_Speaker10_Questionnaire_1, KUW_2022_Speaker10_Questionnaire_3, Questionnaire_KUW_2022_Speaker3_Speaker6_Speaker11_1, Questionnaire_KUW_2022_Speaker3_Speaker6_1, Questionnaire_KUW_2022_Speaker3_Speaker6_2, Questionnaire_KUW_2022_Speaker3_Speaker6_3, Questionnaire_KUW_2022_Speaker3_Speaker6_4, Questionnaire_KUW_2022_Speaker6_alone_1, Questionnaire_KUW_2022_Speaker3_alone_1, Questionnaire_KUW_2022_Speaker11_alone_1, Questionnaire_KUW_2022_Speaker11_alone_2, KUW_2022_Speaker13_ConversationXrenig_1_1, KUW_2022_Speaker13_ConversationXrenig_1_2_childhood_slaves, KUW_2022_Speaker13_ConversationXrenig_1_3_slaves_2, KUW_2022_Speaker13_ConversationXrenig_1_5_xrenig_weddingtraditions, KUW_2022_Speaker13_ConversationXrenig_1_7_mothers_secretlanguage, KUW_2022_Speaker13_ConversationXrenig_1_8_henna, KUW_2022_Speaker13_ConversationXrenig_1_9_abaaya_henna_2, KUW_2022_Speaker13_ConversationXrenig_1_10_disagreementbetweenmotheranddaughter, KUW_2022_Speaker13_ConversationXrenig_1_11_predictingpregnancies, KUW_2022_Speaker13_ConversationXrenig_1_12_childbirthprep, KUW_2022_Speaker13_ConversationXrenig_1_13_weddings_dialects, KUW_2022_Speaker13_ConversationXrenig_2</v>
      </c>
    </row>
    <row r="54" spans="1:14" ht="14.45">
      <c r="A54" t="s">
        <v>1484</v>
      </c>
      <c r="B54" s="108" t="s">
        <v>1373</v>
      </c>
      <c r="C54" t="s">
        <v>1374</v>
      </c>
      <c r="E54" t="s">
        <v>1397</v>
      </c>
      <c r="H54" t="s">
        <v>1485</v>
      </c>
      <c r="J54" s="9" t="str" cm="1">
        <f t="array" ref="J54">_xlfn.TEXTJOIN(", ",TRUE(),_xlfn._xlws.FILTER(Speakers_in_Recordings!$A$2:$A$1502,Speakers_in_Recordings!$B$2:$B$1502=_xlfn.SINGLE(Spkrs[Speaker]),"N/A"))</f>
        <v>KUW_2022_Speaker13_ConversationXrenig_1_1, KUW_2022_Speaker13_ConversationXrenig_1_2_childhood_slaves, KUW_2022_Speaker13_ConversationXrenig_1_5_xrenig_weddingtraditions, KUW_2022_Speaker13_ConversationXrenig_1_6_racism_dialects, KUW_2022_Speaker13_ConversationXrenig_1_7_mothers_secretlanguage, KUW_2022_Speaker13_ConversationXrenig_1_9_abaaya_henna_2, KUW_2022_Speaker13_ConversationXrenig_1_10_disagreementbetweenmotheranddaughter, KUW_2022_Speaker13_ConversationXrenig_1_11_predictingpregnancies, KUW_2022_Speaker13_ConversationXrenig_1_12_childbirthprep, KUW_2022_Speaker13_ConversationXrenig_1_13_weddings_dialects, KUW_2022_Speaker13_ConversationXrenig_2</v>
      </c>
    </row>
    <row r="55" spans="1:14" ht="14.45">
      <c r="J55" s="9" t="e" cm="1">
        <f t="array" ref="J55">_xlfn.TEXTJOIN(", ",TRUE(),_xlfn._xlws.FILTER(#REF!,#REF!=_xlfn.SINGLE(Spkrs[Speaker]),"N/A"))</f>
        <v>#REF!</v>
      </c>
    </row>
    <row r="56" spans="1:14" ht="14.45">
      <c r="A56" t="s">
        <v>1486</v>
      </c>
      <c r="B56" t="s">
        <v>1373</v>
      </c>
      <c r="C56" t="s">
        <v>1381</v>
      </c>
      <c r="D56">
        <v>1989</v>
      </c>
      <c r="E56" t="s">
        <v>1397</v>
      </c>
      <c r="H56" t="s">
        <v>1377</v>
      </c>
      <c r="I56" t="s">
        <v>1487</v>
      </c>
      <c r="J56" s="9" t="e" cm="1">
        <f t="array" ref="J56">_xlfn.TEXTJOIN(", ",TRUE(),_xlfn._xlws.FILTER(#REF!,#REF!=_xlfn.SINGLE(Spkrs[Speaker]),"N/A"))</f>
        <v>#REF!</v>
      </c>
      <c r="K56" t="s">
        <v>1379</v>
      </c>
      <c r="N56" t="s">
        <v>1488</v>
      </c>
    </row>
    <row r="57" spans="1:14" ht="14.45">
      <c r="A57" t="s">
        <v>1489</v>
      </c>
      <c r="B57" t="s">
        <v>1373</v>
      </c>
      <c r="C57" t="s">
        <v>1381</v>
      </c>
      <c r="D57">
        <v>1989</v>
      </c>
      <c r="E57" t="s">
        <v>1397</v>
      </c>
      <c r="F57" t="s">
        <v>1433</v>
      </c>
      <c r="H57" t="s">
        <v>1377</v>
      </c>
      <c r="I57" t="s">
        <v>1490</v>
      </c>
      <c r="J57" s="9" t="e" cm="1">
        <f t="array" ref="J57">_xlfn.TEXTJOIN(", ",TRUE(),_xlfn._xlws.FILTER(#REF!,#REF!=_xlfn.SINGLE(Spkrs[Speaker]),"N/A"))</f>
        <v>#REF!</v>
      </c>
      <c r="K57" t="s">
        <v>1379</v>
      </c>
      <c r="N57" t="s">
        <v>1488</v>
      </c>
    </row>
    <row r="58" spans="1:14" ht="14.45">
      <c r="A58" t="s">
        <v>1491</v>
      </c>
      <c r="B58" t="s">
        <v>1373</v>
      </c>
      <c r="C58" t="s">
        <v>1381</v>
      </c>
      <c r="D58">
        <v>1989</v>
      </c>
      <c r="E58" t="s">
        <v>1397</v>
      </c>
      <c r="F58" t="s">
        <v>1433</v>
      </c>
      <c r="H58" t="s">
        <v>1377</v>
      </c>
      <c r="I58" t="s">
        <v>1490</v>
      </c>
      <c r="J58" s="9" t="e" cm="1">
        <f t="array" ref="J58">_xlfn.TEXTJOIN(", ",TRUE(),_xlfn._xlws.FILTER(#REF!,#REF!=_xlfn.SINGLE(Spkrs[Speaker]),"N/A"))</f>
        <v>#REF!</v>
      </c>
      <c r="K58" t="s">
        <v>1379</v>
      </c>
      <c r="N58" t="s">
        <v>1488</v>
      </c>
    </row>
    <row r="59" spans="1:14" ht="14.45">
      <c r="A59" t="s">
        <v>1492</v>
      </c>
      <c r="B59" t="s">
        <v>1373</v>
      </c>
      <c r="C59" t="s">
        <v>1381</v>
      </c>
      <c r="D59">
        <v>1992</v>
      </c>
      <c r="E59" t="s">
        <v>1376</v>
      </c>
      <c r="H59" t="s">
        <v>1377</v>
      </c>
      <c r="I59" t="s">
        <v>1493</v>
      </c>
      <c r="J59" s="9" t="e" cm="1">
        <f t="array" ref="J59">_xlfn.TEXTJOIN(", ",TRUE(),_xlfn._xlws.FILTER(#REF!,#REF!=_xlfn.SINGLE(Spkrs[Speaker]),"N/A"))</f>
        <v>#REF!</v>
      </c>
      <c r="K59" t="s">
        <v>1379</v>
      </c>
      <c r="N59" t="s">
        <v>1488</v>
      </c>
    </row>
    <row r="60" spans="1:14" ht="14.45">
      <c r="A60" t="s">
        <v>1494</v>
      </c>
      <c r="B60" t="s">
        <v>1373</v>
      </c>
      <c r="C60" t="s">
        <v>1381</v>
      </c>
      <c r="D60">
        <v>1991</v>
      </c>
      <c r="E60" t="s">
        <v>1376</v>
      </c>
      <c r="H60" t="s">
        <v>1377</v>
      </c>
      <c r="I60" t="s">
        <v>1495</v>
      </c>
      <c r="J60" s="9" t="e" cm="1">
        <f t="array" ref="J60">_xlfn.TEXTJOIN(", ",TRUE(),_xlfn._xlws.FILTER(#REF!,#REF!=_xlfn.SINGLE(Spkrs[Speaker]),"N/A"))</f>
        <v>#REF!</v>
      </c>
      <c r="K60" t="s">
        <v>1379</v>
      </c>
      <c r="N60" t="s">
        <v>1488</v>
      </c>
    </row>
    <row r="61" spans="1:14" ht="14.45">
      <c r="A61" t="s">
        <v>1496</v>
      </c>
      <c r="B61" t="s">
        <v>1373</v>
      </c>
      <c r="C61" t="s">
        <v>1381</v>
      </c>
      <c r="D61" t="s">
        <v>1497</v>
      </c>
      <c r="E61" t="s">
        <v>1390</v>
      </c>
      <c r="F61" t="s">
        <v>1433</v>
      </c>
      <c r="H61" t="s">
        <v>1377</v>
      </c>
      <c r="I61" t="s">
        <v>1498</v>
      </c>
      <c r="J61" s="9" t="e" cm="1">
        <f t="array" ref="J61">_xlfn.TEXTJOIN(", ",TRUE(),_xlfn._xlws.FILTER(#REF!,#REF!=_xlfn.SINGLE(Spkrs[Speaker]),"N/A"))</f>
        <v>#REF!</v>
      </c>
      <c r="K61" t="s">
        <v>1499</v>
      </c>
      <c r="N61" t="s">
        <v>1488</v>
      </c>
    </row>
    <row r="62" spans="1:14" ht="14.45">
      <c r="A62" t="s">
        <v>1500</v>
      </c>
      <c r="B62" s="108" t="s">
        <v>1373</v>
      </c>
      <c r="C62" t="s">
        <v>1381</v>
      </c>
      <c r="D62" t="s">
        <v>1497</v>
      </c>
      <c r="E62" t="s">
        <v>1390</v>
      </c>
      <c r="F62" t="s">
        <v>1433</v>
      </c>
      <c r="H62" t="s">
        <v>1377</v>
      </c>
      <c r="I62" t="s">
        <v>1501</v>
      </c>
      <c r="J62" s="9" t="e" cm="1">
        <f t="array" ref="J62">_xlfn.TEXTJOIN(", ",TRUE(),_xlfn._xlws.FILTER(#REF!,#REF!=_xlfn.SINGLE(Spkrs[Speaker]),"N/A"))</f>
        <v>#REF!</v>
      </c>
      <c r="K62" t="s">
        <v>1502</v>
      </c>
      <c r="N62" t="s">
        <v>1426</v>
      </c>
    </row>
    <row r="63" spans="1:14">
      <c r="A63" s="64" t="s">
        <v>1503</v>
      </c>
      <c r="B63" s="173" t="s">
        <v>1387</v>
      </c>
      <c r="C63" t="s">
        <v>1381</v>
      </c>
      <c r="D63">
        <v>2012</v>
      </c>
      <c r="E63" t="s">
        <v>1504</v>
      </c>
      <c r="F63" t="s">
        <v>1433</v>
      </c>
      <c r="H63" t="s">
        <v>1377</v>
      </c>
      <c r="I63" t="s">
        <v>1505</v>
      </c>
      <c r="J63" s="9" t="e" cm="1">
        <f t="array" ref="J63">_xlfn.TEXTJOIN(", ",TRUE(),_xlfn._xlws.FILTER(#REF!,#REF!=_xlfn.SINGLE(Spkrs[Speaker]),"N/A"))</f>
        <v>#REF!</v>
      </c>
      <c r="K63" t="s">
        <v>1502</v>
      </c>
      <c r="N63" t="s">
        <v>1506</v>
      </c>
    </row>
    <row r="64" spans="1:14" ht="14.45">
      <c r="A64" t="s">
        <v>1507</v>
      </c>
      <c r="B64" t="s">
        <v>1373</v>
      </c>
      <c r="C64" t="s">
        <v>1381</v>
      </c>
      <c r="D64" t="s">
        <v>1508</v>
      </c>
      <c r="E64" t="s">
        <v>1394</v>
      </c>
      <c r="F64" t="s">
        <v>1509</v>
      </c>
      <c r="H64" t="s">
        <v>1377</v>
      </c>
      <c r="I64" t="s">
        <v>1510</v>
      </c>
      <c r="J64" s="9" t="e" cm="1">
        <f t="array" ref="J64">_xlfn.TEXTJOIN(", ",TRUE(),_xlfn._xlws.FILTER(#REF!,#REF!=_xlfn.SINGLE(Spkrs[Speaker]),"N/A"))</f>
        <v>#REF!</v>
      </c>
      <c r="K64" t="s">
        <v>1379</v>
      </c>
      <c r="N64" t="s">
        <v>1426</v>
      </c>
    </row>
    <row r="65" spans="1:14" ht="14.45">
      <c r="A65" t="s">
        <v>1511</v>
      </c>
      <c r="B65" t="s">
        <v>1373</v>
      </c>
      <c r="C65" t="s">
        <v>1381</v>
      </c>
      <c r="D65" t="s">
        <v>1512</v>
      </c>
      <c r="E65" t="s">
        <v>1384</v>
      </c>
      <c r="F65" t="s">
        <v>1433</v>
      </c>
      <c r="H65" t="s">
        <v>1377</v>
      </c>
      <c r="I65" t="s">
        <v>1513</v>
      </c>
      <c r="J65" s="9" t="e" cm="1">
        <f t="array" ref="J65">_xlfn.TEXTJOIN(", ",TRUE(),_xlfn._xlws.FILTER(#REF!,#REF!=_xlfn.SINGLE(Spkrs[Speaker]),"N/A"))</f>
        <v>#REF!</v>
      </c>
      <c r="K65" t="s">
        <v>1379</v>
      </c>
      <c r="N65" t="s">
        <v>1488</v>
      </c>
    </row>
    <row r="66" spans="1:14" ht="14.45">
      <c r="A66" s="64" t="s">
        <v>1514</v>
      </c>
      <c r="B66" t="s">
        <v>1373</v>
      </c>
      <c r="C66" t="s">
        <v>1381</v>
      </c>
      <c r="D66" t="s">
        <v>1497</v>
      </c>
      <c r="E66" t="s">
        <v>1390</v>
      </c>
      <c r="F66" t="s">
        <v>1433</v>
      </c>
      <c r="H66" t="s">
        <v>1377</v>
      </c>
      <c r="I66" t="s">
        <v>1515</v>
      </c>
      <c r="J66" s="9" t="e" cm="1">
        <f t="array" ref="J66">_xlfn.TEXTJOIN(", ",TRUE(),_xlfn._xlws.FILTER(#REF!,#REF!=_xlfn.SINGLE(Spkrs[Speaker]),"N/A"))</f>
        <v>#REF!</v>
      </c>
      <c r="K66" t="s">
        <v>1499</v>
      </c>
      <c r="N66" t="s">
        <v>1426</v>
      </c>
    </row>
    <row r="67" spans="1:14" ht="14.45">
      <c r="A67" s="64" t="s">
        <v>1516</v>
      </c>
      <c r="B67" t="s">
        <v>1373</v>
      </c>
      <c r="C67" t="s">
        <v>1381</v>
      </c>
      <c r="D67" t="s">
        <v>1497</v>
      </c>
      <c r="E67" t="s">
        <v>1390</v>
      </c>
      <c r="F67" t="s">
        <v>1433</v>
      </c>
      <c r="H67" t="s">
        <v>1377</v>
      </c>
      <c r="I67" t="s">
        <v>1517</v>
      </c>
      <c r="J67" s="9" t="e" cm="1">
        <f t="array" ref="J67">_xlfn.TEXTJOIN(", ",TRUE(),_xlfn._xlws.FILTER(#REF!,#REF!=_xlfn.SINGLE(Spkrs[Speaker]),"N/A"))</f>
        <v>#REF!</v>
      </c>
      <c r="K67" t="s">
        <v>1499</v>
      </c>
      <c r="N67" t="s">
        <v>1518</v>
      </c>
    </row>
    <row r="68" spans="1:14" ht="14.45">
      <c r="A68" t="s">
        <v>1519</v>
      </c>
      <c r="B68" t="s">
        <v>1373</v>
      </c>
      <c r="C68" t="s">
        <v>1381</v>
      </c>
      <c r="D68" t="s">
        <v>1520</v>
      </c>
      <c r="E68" t="s">
        <v>1397</v>
      </c>
      <c r="F68" t="s">
        <v>1433</v>
      </c>
      <c r="H68" t="s">
        <v>1377</v>
      </c>
      <c r="I68" t="s">
        <v>1521</v>
      </c>
      <c r="J68" s="9" t="e" cm="1">
        <f t="array" ref="J68">_xlfn.TEXTJOIN(", ",TRUE(),_xlfn._xlws.FILTER(#REF!,#REF!=_xlfn.SINGLE(Spkrs[Speaker]),"N/A"))</f>
        <v>#REF!</v>
      </c>
      <c r="K68" t="s">
        <v>1522</v>
      </c>
      <c r="N68" t="s">
        <v>1488</v>
      </c>
    </row>
    <row r="69" spans="1:14" ht="14.45">
      <c r="A69" t="s">
        <v>1523</v>
      </c>
      <c r="B69" t="s">
        <v>1373</v>
      </c>
      <c r="C69" t="s">
        <v>1381</v>
      </c>
      <c r="D69" t="s">
        <v>1512</v>
      </c>
      <c r="E69" t="s">
        <v>1384</v>
      </c>
      <c r="F69" t="s">
        <v>1433</v>
      </c>
      <c r="H69" t="s">
        <v>1377</v>
      </c>
      <c r="I69" t="s">
        <v>1524</v>
      </c>
      <c r="J69" s="9" t="e" cm="1">
        <f t="array" ref="J69">_xlfn.TEXTJOIN(", ",TRUE(),_xlfn._xlws.FILTER(#REF!,#REF!=_xlfn.SINGLE(Spkrs[Speaker]),"N/A"))</f>
        <v>#REF!</v>
      </c>
      <c r="K69" t="s">
        <v>1499</v>
      </c>
      <c r="N69" t="s">
        <v>1488</v>
      </c>
    </row>
    <row r="70" spans="1:14" ht="14.45">
      <c r="A70" t="s">
        <v>1525</v>
      </c>
      <c r="B70" t="s">
        <v>1373</v>
      </c>
      <c r="C70" t="s">
        <v>1374</v>
      </c>
      <c r="D70">
        <v>2006</v>
      </c>
      <c r="E70" t="s">
        <v>1400</v>
      </c>
      <c r="H70" t="s">
        <v>1377</v>
      </c>
      <c r="I70" t="s">
        <v>1526</v>
      </c>
      <c r="J70" s="9" t="e" cm="1">
        <f t="array" ref="J70">_xlfn.TEXTJOIN(", ",TRUE(),_xlfn._xlws.FILTER(#REF!,#REF!=_xlfn.SINGLE(Spkrs[Speaker]),"N/A"))</f>
        <v>#REF!</v>
      </c>
      <c r="K70" t="s">
        <v>1499</v>
      </c>
      <c r="N70" t="s">
        <v>1488</v>
      </c>
    </row>
    <row r="71" spans="1:14" ht="14.45">
      <c r="A71" t="s">
        <v>1527</v>
      </c>
      <c r="B71" t="s">
        <v>1373</v>
      </c>
      <c r="C71" t="s">
        <v>1381</v>
      </c>
      <c r="D71" t="s">
        <v>1528</v>
      </c>
      <c r="E71" t="s">
        <v>1382</v>
      </c>
      <c r="F71" t="s">
        <v>1433</v>
      </c>
      <c r="H71" t="s">
        <v>1377</v>
      </c>
      <c r="I71" t="s">
        <v>1529</v>
      </c>
      <c r="J71" s="9" t="e" cm="1">
        <f t="array" ref="J71">_xlfn.TEXTJOIN(", ",TRUE(),_xlfn._xlws.FILTER(#REF!,#REF!=_xlfn.SINGLE(Spkrs[Speaker]),"N/A"))</f>
        <v>#REF!</v>
      </c>
      <c r="K71" s="64" t="s">
        <v>1530</v>
      </c>
      <c r="N71" t="s">
        <v>1488</v>
      </c>
    </row>
    <row r="72" spans="1:14" ht="14.45">
      <c r="A72" t="s">
        <v>1531</v>
      </c>
      <c r="B72" t="s">
        <v>1373</v>
      </c>
      <c r="C72" t="s">
        <v>1381</v>
      </c>
      <c r="D72">
        <v>1939</v>
      </c>
      <c r="E72" t="s">
        <v>1445</v>
      </c>
      <c r="H72" t="s">
        <v>1377</v>
      </c>
      <c r="I72" t="s">
        <v>1532</v>
      </c>
      <c r="J72" s="9" t="e" cm="1">
        <f t="array" ref="J72">_xlfn.TEXTJOIN(", ",TRUE(),_xlfn._xlws.FILTER(#REF!,#REF!=_xlfn.SINGLE(Spkrs[Speaker]),"N/A"))</f>
        <v>#REF!</v>
      </c>
      <c r="K72" t="s">
        <v>1533</v>
      </c>
      <c r="N72" t="s">
        <v>1534</v>
      </c>
    </row>
    <row r="73" spans="1:14" ht="14.45">
      <c r="A73" s="64" t="s">
        <v>1535</v>
      </c>
      <c r="B73" t="s">
        <v>1373</v>
      </c>
      <c r="C73" t="s">
        <v>1381</v>
      </c>
      <c r="D73">
        <v>1980</v>
      </c>
      <c r="E73" t="s">
        <v>1397</v>
      </c>
      <c r="F73" t="s">
        <v>1433</v>
      </c>
      <c r="H73" t="s">
        <v>1377</v>
      </c>
      <c r="I73" t="s">
        <v>1536</v>
      </c>
      <c r="J73" s="9" t="e" cm="1">
        <f t="array" ref="J73">_xlfn.TEXTJOIN(", ",TRUE(),_xlfn._xlws.FILTER(#REF!,#REF!=_xlfn.SINGLE(Spkrs[Speaker]),"N/A"))</f>
        <v>#REF!</v>
      </c>
      <c r="K73" t="s">
        <v>1379</v>
      </c>
      <c r="N73" t="s">
        <v>1488</v>
      </c>
    </row>
    <row r="74" spans="1:14" ht="14.45">
      <c r="A74" t="s">
        <v>1537</v>
      </c>
      <c r="B74" t="s">
        <v>1373</v>
      </c>
      <c r="C74" t="s">
        <v>1374</v>
      </c>
      <c r="J74" s="9" t="e" cm="1">
        <f t="array" ref="J74">_xlfn.TEXTJOIN(", ",TRUE(),_xlfn._xlws.FILTER(#REF!,#REF!=_xlfn.SINGLE(Spkrs[Speaker]),"N/A"))</f>
        <v>#REF!</v>
      </c>
    </row>
    <row r="75" spans="1:14" ht="14.45">
      <c r="J75" s="9" t="e" cm="1">
        <f t="array" ref="J75">_xlfn.TEXTJOIN(", ",TRUE(),_xlfn._xlws.FILTER(#REF!,#REF!=_xlfn.SINGLE(Spkrs[Speaker]),"N/A"))</f>
        <v>#REF!</v>
      </c>
    </row>
    <row r="76" spans="1:14" ht="14.45">
      <c r="A76" t="s">
        <v>1292</v>
      </c>
      <c r="B76" t="s">
        <v>1373</v>
      </c>
      <c r="C76" t="s">
        <v>1374</v>
      </c>
      <c r="E76" t="s">
        <v>1376</v>
      </c>
      <c r="J76" s="9" t="str" cm="1">
        <f t="array" ref="J76">_xlfn.TEXTJOIN(", ",TRUE(),_xlfn._xlws.FILTER(Speakers_in_Recordings!$A$2:$A$1502,Speakers_in_Recordings!$B$2:$B$1502=_xlfn.SINGLE(Spkrs[Speaker]),"N/A"))</f>
        <v>KS_F.68_Karantina_all, 01_NH_F.66_Karantina_hardlife, 02_NH_F.66_Karantina_ARMSandlanguageideologies, DZ_F.63_Karantina_all, BK_F.57_Karantina_lifestory, 1.1_KD_F.49_Karantina_IntroPortExplosion, 1.2_KD_F.49_Karantina_GermanyLanguage, 2.1_KD_F.49_Karantina_ARMSdialect.Tribes, 2.2_KD_F.49_Karantina_Bedouinidentity, 2.3_KD_F.49_Karantina_Bedouintraditions.Culture.Daughter, 2.4_KD_F.49_Karantina_Bedouindialects.languageideologies, 1.1_SS_F.45_Karantina_ArMsdialect, 1.2_SS_F.45_Karantina_ArMsD2, JS_F.19_Karantina_all, 01_S1_M.23_M.26_M.34_shabab</v>
      </c>
    </row>
    <row r="77" spans="1:14" ht="14.45">
      <c r="A77" t="s">
        <v>1274</v>
      </c>
      <c r="B77" t="s">
        <v>1373</v>
      </c>
      <c r="C77" t="s">
        <v>1374</v>
      </c>
      <c r="D77">
        <v>1989</v>
      </c>
      <c r="E77" t="s">
        <v>1376</v>
      </c>
      <c r="H77" t="s">
        <v>1538</v>
      </c>
      <c r="J77" s="9" t="str" cm="1">
        <f t="array" ref="J77">_xlfn.TEXTJOIN(", ",TRUE(),_xlfn._xlws.FILTER(Speakers_in_Recordings!$A$2:$A$1502,Speakers_in_Recordings!$B$2:$B$1502=_xlfn.SINGLE(Spkrs[Speaker]),"N/A"))</f>
        <v>04_NZ_M.73_Karantina_Pictures, 06_NZ_M.73_Karantina_eliciationIMP.StoryBedouinMan, 07_NZ_M.73_Karantina_languageUse.NewGeneration.cityVSvillage, 09_NZ_M.73_Karantina_creditSon.picturesWedding, 11_NZ_M.73_Karantina_historyKarantina2_TradeLanguageIdentity, 12_NZ_M.73_Karantina_ManzulDiwanConversationsReligion, 14_NZ_M.73_Karantina_Beirutbefore, 16_NZ_M.73_Karantina_SaidaFriends, 28_MA_M.71_Karantina_ArabilMaslax.ArabXalde, 30_MA_M.71_Karantina_BedouinDialect.Culture, 35_MA_M.71_Karantina_Beirut.Cinemas.Beef, 41_OD_M.72_Karantina_DialectLoss.Identity, 01_SKh_M.63_Karantina_proyect.F.44passesby, 02_SKh_M.63_Karantina_bedouindialectideologies, 03_SKh_M.63_Karantina_convowithkidsellingcoffee, 04_SKh_M.63_Karantina_convowithM.55, KS_F.68_Karantina_all, DZ_F.63_Karantina_all, BK_F.57_Karantina_lifestory, 1.1_KD_F.49_Karantina_IntroPortExplosion, 1.2_KD_F.49_Karantina_GermanyLanguage, 1.3_KD_F.49_Karantina_ReturntoKarantina, 1.4_KD_F.49_Karantina_SocialInjustice, 1.5_KD_F.49_Karantina_ConvowithKZ.Elections, 1.1_SS_F.45_Karantina_ArMsdialect, 1.2_SS_F.45_Karantina_ArMsD2, 1.3_SS_F.45_Karantina_ArMsbeforeandnow, 2.1_SS_F.45_Karantina_dialectEvolved, 2.2_SS_F.45_Karantina_secretcode, 2.3_SS_F.45_Karantina_ArabLheb, 2.4_SS_F.45_Karantina_ArabalMaslakhinGermany, 2.5_SS_F.45_Karantina_SyriansinKarantina, 2.6_SS_F.45_Karantina_Karantinabefore, 2.7_SS_F.45_Karantina_MarriageamongARMS, 2.8_SS_F.45_Karantina_ViolenceandWomen, 2.9_SS_F.45_Karantina_deadsister, 2.10_SS_F.45_Karantina_Storyneighbor, 2.11_SS_F.45_Karantina_Storydeadpeople, 2.12_SS_F.45_Karantina_Exfiancee, 2.13_SS_F.45_Karantina_Exfiancee2, JS_F.19_Karantina_all, 03_RD_M.61_Khalde_DialectandAuthenticity, 09_RD_M.61_Khalde_khashm_purityofBedouinArabic, 01_HD_M.31_Khalde_QuestionnairegrammarPart1, 02_HD_M.31_Khalde_QuestionnairegrammarPart2, 03_HD_M.31_Khalde_QuestionnairegrammarPart3_akalparadigms_ipfv3plmdiscussion, 04_HD_M.31_Khalde_QuestionnairegrammarPart4, 06_HD_M.31_Khalde_QuestionnairegrammarPart6, 07_HD_M.31_Khalde_QuestionnairegrammarPart7, 11_HD_M.31_Khalde_QuestionnairevisualPart3_tarakdashar3af</v>
      </c>
    </row>
    <row r="78" spans="1:14" ht="14.45">
      <c r="A78" t="s">
        <v>1539</v>
      </c>
      <c r="B78" t="s">
        <v>1373</v>
      </c>
      <c r="C78" t="s">
        <v>1381</v>
      </c>
      <c r="D78">
        <v>1950</v>
      </c>
      <c r="E78" t="s">
        <v>1382</v>
      </c>
      <c r="F78" s="89" t="s">
        <v>1540</v>
      </c>
      <c r="H78" t="s">
        <v>1541</v>
      </c>
      <c r="J78" s="9" t="str" cm="1">
        <f t="array" ref="J78">_xlfn.TEXTJOIN(", ",TRUE(),_xlfn._xlws.FILTER(Speakers_in_Recordings!$A$2:$A$1502,Speakers_in_Recordings!$B$2:$B$1502=_xlfn.SINGLE(Spkrs[Speaker]),"N/A"))</f>
        <v>01_NZ_M.73_Karantina_FirstEncounter, 02_NZ_M.73_Karantina_BedouinWeddings, 03_NZ_M.73_Karantina_historyKarantina, 04_NZ_M.73_Karantina_Pictures, 05_NZ_M.73_Karantina_shyuxa, 06_NZ_M.73_Karantina_eliciationIMP.StoryBedouinMan, 07_NZ_M.73_Karantina_languageUse.NewGeneration.cityVSvillage, 08_NZ_M.73_Karantina_hisFamily, 09_NZ_M.73_Karantina_creditSon.picturesWedding, 10_NZ_M.73_Karantina_GardenPlantsMarketVegetables, 11_NZ_M.73_Karantina_historyKarantina2_TradeLanguageIdentity, 12_NZ_M.73_Karantina_ManzulDiwanConversationsReligion, 13_NZ_M.73_Karantina_AnimalmarketFoodpreparation, 14_NZ_M.73_Karantina_Beirutbefore, 15_NZ_M.73_Karantina_ProphetstoryValues, 16_NZ_M.73_Karantina_SaidaFriends, 17_NZ_M.73_Karantina_shadirStory, 18_NZ_M.73_Karantina_tamerStory</v>
      </c>
      <c r="K78" t="s">
        <v>1542</v>
      </c>
      <c r="L78" t="s">
        <v>1543</v>
      </c>
      <c r="M78" t="s">
        <v>1544</v>
      </c>
      <c r="N78" t="s">
        <v>1545</v>
      </c>
    </row>
    <row r="79" spans="1:14" ht="14.45">
      <c r="A79" t="s">
        <v>1546</v>
      </c>
      <c r="B79" t="s">
        <v>1373</v>
      </c>
      <c r="C79" t="s">
        <v>1381</v>
      </c>
      <c r="D79">
        <v>1952</v>
      </c>
      <c r="E79" t="s">
        <v>1382</v>
      </c>
      <c r="F79" s="90" t="s">
        <v>1540</v>
      </c>
      <c r="H79" t="s">
        <v>1541</v>
      </c>
      <c r="J79" s="9" t="str" cm="1">
        <f t="array" ref="J79">_xlfn.TEXTJOIN(", ",TRUE(),_xlfn._xlws.FILTER(Speakers_in_Recordings!$A$2:$A$1502,Speakers_in_Recordings!$B$2:$B$1502=_xlfn.SINGLE(Spkrs[Speaker]),"N/A"))</f>
        <v>19_MA_M.71_Karantina_Birth.CivilWar1, 20_MA_M.71_Karantina_PreWarKarantina.Neighborhood.Misery.Death, 21_MA_M.71_Karantina_CivilWar.Exile.Reputation, 22_MA_M.71_Karantina_Cheap.Traders.Cattle.Eid, 23_MA_M.71_Karantina_ArmeniansInKarantina, 24_MA_M.71_Karantina_Maslax1.dailyRoutine, 25_MA_M.71_Karantina_Maslax2.howitworked, 26_MA_M.71_Karantina_Maslax3.meatbusiness, 27_MA_M.71_Karantina_Trips.Lira, 28_MA_M.71_Karantina_ArabilMaslax.ArabXalde, 29_MA_M.71_Karantina_ArabTribesLebanon, 30_MA_M.71_Karantina_BedouinDialect.Culture, 31_MA_M.71_Karantina_Foodprices.Clothes.Attitude, 32_MA_M.71_Karantina_Actors.Cars, 33_MA_M.71_Karantina_Childhood.Poverty.House, 34_MA_M.71_Karantina_StoriesofPreWarKarantina.Boat.Drugs, 35_MA_M.71_Karantina_Beirut.Cinemas.Beef, 36_MA_M.71_Karantina_PortExplosion, 37_MA_M.71_Karantina_BreakfastandGossip</v>
      </c>
      <c r="K79" t="s">
        <v>1547</v>
      </c>
      <c r="L79" t="s">
        <v>1543</v>
      </c>
      <c r="M79" t="s">
        <v>1544</v>
      </c>
      <c r="N79" t="s">
        <v>1548</v>
      </c>
    </row>
    <row r="80" spans="1:14" ht="14.45">
      <c r="A80" t="s">
        <v>1549</v>
      </c>
      <c r="B80" t="s">
        <v>1373</v>
      </c>
      <c r="C80" t="s">
        <v>1381</v>
      </c>
      <c r="D80">
        <v>1951</v>
      </c>
      <c r="E80" t="s">
        <v>1382</v>
      </c>
      <c r="F80" s="89" t="s">
        <v>1540</v>
      </c>
      <c r="H80" t="s">
        <v>1541</v>
      </c>
      <c r="J80" s="9" t="str" cm="1">
        <f t="array" ref="J80">_xlfn.TEXTJOIN(", ",TRUE(),_xlfn._xlws.FILTER(Speakers_in_Recordings!$A$2:$A$1502,Speakers_in_Recordings!$B$2:$B$1502=_xlfn.SINGLE(Spkrs[Speaker]),"N/A"))</f>
        <v>38_OD_M.72_Karantina_Arab.Tribe.Dialect, 39_OD_M.72_Karantina_CivilWar, 40_OD_M.72_Karantina_ArabilMaslax, 41_OD_M.72_Karantina_DialectLoss.Identity, 42_OD_M.72_Karantina_Picturesprepositions</v>
      </c>
      <c r="K80" t="s">
        <v>1547</v>
      </c>
      <c r="L80" t="s">
        <v>1543</v>
      </c>
      <c r="M80" t="s">
        <v>1544</v>
      </c>
      <c r="N80" t="s">
        <v>1548</v>
      </c>
    </row>
    <row r="81" spans="1:14" ht="14.45">
      <c r="A81" t="s">
        <v>1550</v>
      </c>
      <c r="B81" t="s">
        <v>1373</v>
      </c>
      <c r="C81" t="s">
        <v>1374</v>
      </c>
      <c r="D81">
        <v>1955</v>
      </c>
      <c r="E81" t="s">
        <v>1390</v>
      </c>
      <c r="F81" s="90" t="s">
        <v>1540</v>
      </c>
      <c r="H81" t="s">
        <v>1541</v>
      </c>
      <c r="J81" s="9" t="str" cm="1">
        <f t="array" ref="J81">_xlfn.TEXTJOIN(", ",TRUE(),_xlfn._xlws.FILTER(Speakers_in_Recordings!$A$2:$A$1502,Speakers_in_Recordings!$B$2:$B$1502=_xlfn.SINGLE(Spkrs[Speaker]),"N/A"))</f>
        <v>KS_F.68_Karantina_all</v>
      </c>
      <c r="K81" t="s">
        <v>1551</v>
      </c>
      <c r="L81" t="s">
        <v>1543</v>
      </c>
      <c r="M81" t="s">
        <v>1552</v>
      </c>
      <c r="N81" t="s">
        <v>1545</v>
      </c>
    </row>
    <row r="82" spans="1:14" ht="14.45">
      <c r="A82" t="s">
        <v>1553</v>
      </c>
      <c r="B82" t="s">
        <v>1373</v>
      </c>
      <c r="C82" t="s">
        <v>1381</v>
      </c>
      <c r="D82">
        <v>1958</v>
      </c>
      <c r="E82" t="s">
        <v>1390</v>
      </c>
      <c r="F82" s="89" t="s">
        <v>1554</v>
      </c>
      <c r="H82" t="s">
        <v>1541</v>
      </c>
      <c r="J82" s="9" t="str" cm="1">
        <f t="array" ref="J82">_xlfn.TEXTJOIN(", ",TRUE(),_xlfn._xlws.FILTER(Speakers_in_Recordings!$A$2:$A$1502,Speakers_in_Recordings!$B$2:$B$1502=_xlfn.SINGLE(Spkrs[Speaker]),"N/A"))</f>
        <v>43_KS_M.65_Karantina_BedouinWeddings1, 44_KS_M.65_Karantina_BedouinWeddings2, 45_KS_M.65_Karantina_Bedouincoffee, 46_KS_M.65_Karantina_Bodyparts.elicitation, 47_KS_M.65_Karantina_Questionnaire, 48_KS_M.65_Karantina_Prepositions.elicitation, 49_KS_M.65_Karantina_Actions.elicitation, BK_F.57_Karantina_lifestory</v>
      </c>
      <c r="K82" t="s">
        <v>1542</v>
      </c>
      <c r="L82" t="s">
        <v>1543</v>
      </c>
      <c r="M82" t="s">
        <v>1544</v>
      </c>
      <c r="N82" t="s">
        <v>1428</v>
      </c>
    </row>
    <row r="83" spans="1:14" ht="14.45">
      <c r="A83" t="s">
        <v>1555</v>
      </c>
      <c r="B83" t="s">
        <v>1373</v>
      </c>
      <c r="C83" t="s">
        <v>1374</v>
      </c>
      <c r="D83">
        <v>1960</v>
      </c>
      <c r="E83" t="s">
        <v>1390</v>
      </c>
      <c r="F83" s="90" t="s">
        <v>1554</v>
      </c>
      <c r="H83" t="s">
        <v>1541</v>
      </c>
      <c r="J83" s="9" t="str" cm="1">
        <f t="array" ref="J83">_xlfn.TEXTJOIN(", ",TRUE(),_xlfn._xlws.FILTER(Speakers_in_Recordings!$A$2:$A$1502,Speakers_in_Recordings!$B$2:$B$1502=_xlfn.SINGLE(Spkrs[Speaker]),"N/A"))</f>
        <v>DZ_F.63_Karantina_all</v>
      </c>
      <c r="K83" t="s">
        <v>1542</v>
      </c>
      <c r="L83" t="s">
        <v>1556</v>
      </c>
      <c r="M83" t="s">
        <v>1552</v>
      </c>
      <c r="N83" t="s">
        <v>1548</v>
      </c>
    </row>
    <row r="84" spans="1:14" ht="14.45">
      <c r="A84" t="s">
        <v>1557</v>
      </c>
      <c r="B84" t="s">
        <v>1373</v>
      </c>
      <c r="C84" t="s">
        <v>1381</v>
      </c>
      <c r="D84">
        <v>1960</v>
      </c>
      <c r="E84" t="s">
        <v>1390</v>
      </c>
      <c r="F84" s="89" t="s">
        <v>1554</v>
      </c>
      <c r="H84" t="s">
        <v>1541</v>
      </c>
      <c r="J84" s="9" t="str" cm="1">
        <f t="array" ref="J84">_xlfn.TEXTJOIN(", ",TRUE(),_xlfn._xlws.FILTER(Speakers_in_Recordings!$A$2:$A$1502,Speakers_in_Recordings!$B$2:$B$1502=_xlfn.SINGLE(Spkrs[Speaker]),"N/A"))</f>
        <v>01_SKh_M.63_Karantina_proyect.F.44passesby, 02_SKh_M.63_Karantina_bedouindialectideologies, 03_SKh_M.63_Karantina_convowithkidsellingcoffee, 04_SKh_M.63_Karantina_convowithM.55</v>
      </c>
      <c r="K84" t="s">
        <v>1547</v>
      </c>
      <c r="L84" t="s">
        <v>1543</v>
      </c>
      <c r="M84" t="s">
        <v>1552</v>
      </c>
      <c r="N84" t="s">
        <v>1558</v>
      </c>
    </row>
    <row r="85" spans="1:14" ht="14.45">
      <c r="A85" t="s">
        <v>1559</v>
      </c>
      <c r="B85" t="s">
        <v>1373</v>
      </c>
      <c r="C85" t="s">
        <v>1374</v>
      </c>
      <c r="D85">
        <v>1967</v>
      </c>
      <c r="E85" t="s">
        <v>1384</v>
      </c>
      <c r="F85" s="90" t="s">
        <v>1560</v>
      </c>
      <c r="H85" t="s">
        <v>1541</v>
      </c>
      <c r="I85" t="s">
        <v>1561</v>
      </c>
      <c r="J85" s="9" t="str" cm="1">
        <f t="array" ref="J85">_xlfn.TEXTJOIN(", ",TRUE(),_xlfn._xlws.FILTER(Speakers_in_Recordings!$A$2:$A$1502,Speakers_in_Recordings!$B$2:$B$1502=_xlfn.SINGLE(Spkrs[Speaker]),"N/A"))</f>
        <v>1.3_SS_F.45_Karantina_ArMsbeforeandnow, 2.1_SS_F.45_Karantina_dialectEvolved, 2.2_SS_F.45_Karantina_secretcode, 2.3_SS_F.45_Karantina_ArabLheb, 2.4_SS_F.45_Karantina_ArabalMaslakhinGermany, 2.5_SS_F.45_Karantina_SyriansinKarantina, 2.6_SS_F.45_Karantina_Karantinabefore, 2.7_SS_F.45_Karantina_MarriageamongARMS, 2.8_SS_F.45_Karantina_ViolenceandWomen, 2.9_SS_F.45_Karantina_deadsister, 2.10_SS_F.45_Karantina_Storyneighbor, 2.11_SS_F.45_Karantina_Storydeadpeople</v>
      </c>
      <c r="K85" t="s">
        <v>1547</v>
      </c>
      <c r="L85" t="s">
        <v>1543</v>
      </c>
      <c r="M85" t="s">
        <v>1552</v>
      </c>
      <c r="N85" t="s">
        <v>1548</v>
      </c>
    </row>
    <row r="86" spans="1:14" ht="14.45">
      <c r="A86" s="64" t="s">
        <v>1562</v>
      </c>
      <c r="B86" s="64" t="s">
        <v>1373</v>
      </c>
      <c r="C86" t="s">
        <v>1374</v>
      </c>
      <c r="D86">
        <v>1968</v>
      </c>
      <c r="E86" t="s">
        <v>1384</v>
      </c>
      <c r="F86" s="89" t="s">
        <v>1560</v>
      </c>
      <c r="H86" t="s">
        <v>1541</v>
      </c>
      <c r="I86" s="64" t="s">
        <v>1563</v>
      </c>
      <c r="J86" s="9" t="str" cm="1">
        <f t="array" ref="J86">_xlfn.TEXTJOIN(", ",TRUE(),_xlfn._xlws.FILTER(Speakers_in_Recordings!$A$2:$A$1502,Speakers_in_Recordings!$B$2:$B$1502=_xlfn.SINGLE(Spkrs[Speaker]),"N/A"))</f>
        <v>1.2_SS_F.45_Karantina_ArMsD2, 1.3_SS_F.45_Karantina_ArMsbeforeandnow, 2.1_SS_F.45_Karantina_dialectEvolved, 2.2_SS_F.45_Karantina_secretcode, 2.3_SS_F.45_Karantina_ArabLheb, 2.4_SS_F.45_Karantina_ArabalMaslakhinGermany, 2.5_SS_F.45_Karantina_SyriansinKarantina, 2.6_SS_F.45_Karantina_Karantinabefore, 2.7_SS_F.45_Karantina_MarriageamongARMS, 2.8_SS_F.45_Karantina_ViolenceandWomen, 2.9_SS_F.45_Karantina_deadsister, 2.10_SS_F.45_Karantina_Storyneighbor, 2.11_SS_F.45_Karantina_Storydeadpeople</v>
      </c>
      <c r="K86" t="s">
        <v>1547</v>
      </c>
      <c r="L86" t="s">
        <v>1543</v>
      </c>
      <c r="M86" t="s">
        <v>1552</v>
      </c>
      <c r="N86" t="s">
        <v>1548</v>
      </c>
    </row>
    <row r="87" spans="1:14" ht="14.45">
      <c r="A87" s="64" t="s">
        <v>1564</v>
      </c>
      <c r="B87" s="64" t="s">
        <v>1373</v>
      </c>
      <c r="C87" t="s">
        <v>1374</v>
      </c>
      <c r="D87">
        <v>1978</v>
      </c>
      <c r="E87" t="s">
        <v>1397</v>
      </c>
      <c r="F87" s="90" t="s">
        <v>1565</v>
      </c>
      <c r="H87" t="s">
        <v>1541</v>
      </c>
      <c r="I87" s="64" t="s">
        <v>1566</v>
      </c>
      <c r="J87" s="9" t="str" cm="1">
        <f t="array" ref="J87">_xlfn.TEXTJOIN(", ",TRUE(),_xlfn._xlws.FILTER(Speakers_in_Recordings!$A$2:$A$1502,Speakers_in_Recordings!$B$2:$B$1502=_xlfn.SINGLE(Spkrs[Speaker]),"N/A"))</f>
        <v>1.1_SS_F.45_Karantina_ArMsdialect, 1.2_SS_F.45_Karantina_ArMsD2, 1.3_SS_F.45_Karantina_ArMsbeforeandnow, 2.1_SS_F.45_Karantina_dialectEvolved, 2.2_SS_F.45_Karantina_secretcode, 2.3_SS_F.45_Karantina_ArabLheb, 2.4_SS_F.45_Karantina_ArabalMaslakhinGermany, 2.5_SS_F.45_Karantina_SyriansinKarantina, 2.6_SS_F.45_Karantina_Karantinabefore, 2.7_SS_F.45_Karantina_MarriageamongARMS, 2.8_SS_F.45_Karantina_ViolenceandWomen, 2.9_SS_F.45_Karantina_deadsister, 2.10_SS_F.45_Karantina_Storyneighbor, 2.11_SS_F.45_Karantina_Storydeadpeople, 2.12_SS_F.45_Karantina_Exfiancee, 2.13_SS_F.45_Karantina_Exfiancee2</v>
      </c>
      <c r="K87" t="s">
        <v>1547</v>
      </c>
      <c r="L87" t="s">
        <v>1543</v>
      </c>
      <c r="M87" t="s">
        <v>1552</v>
      </c>
      <c r="N87" t="s">
        <v>1428</v>
      </c>
    </row>
    <row r="88" spans="1:14" ht="14.45">
      <c r="A88" s="64" t="s">
        <v>1567</v>
      </c>
      <c r="B88" s="64" t="s">
        <v>1373</v>
      </c>
      <c r="C88" t="s">
        <v>1374</v>
      </c>
      <c r="D88">
        <v>2005</v>
      </c>
      <c r="E88" t="s">
        <v>1400</v>
      </c>
      <c r="F88" s="89" t="s">
        <v>1568</v>
      </c>
      <c r="H88" t="s">
        <v>1541</v>
      </c>
      <c r="I88" t="s">
        <v>1569</v>
      </c>
      <c r="J88" s="9" t="str" cm="1">
        <f t="array" ref="J88">_xlfn.TEXTJOIN(", ",TRUE(),_xlfn._xlws.FILTER(Speakers_in_Recordings!$A$2:$A$1502,Speakers_in_Recordings!$B$2:$B$1502=_xlfn.SINGLE(Spkrs[Speaker]),"N/A"))</f>
        <v>1.1_SS_F.45_Karantina_ArMsdialect, 1.2_SS_F.45_Karantina_ArMsD2, 1.3_SS_F.45_Karantina_ArMsbeforeandnow, 2.2_SS_F.45_Karantina_secretcode, 2.4_SS_F.45_Karantina_ArabalMaslakhinGermany, 2.5_SS_F.45_Karantina_SyriansinKarantina, 2.6_SS_F.45_Karantina_Karantinabefore, 2.11_SS_F.45_Karantina_Storydeadpeople, 2.12_SS_F.45_Karantina_Exfiancee, 2.13_SS_F.45_Karantina_Exfiancee2</v>
      </c>
      <c r="K88" t="s">
        <v>1547</v>
      </c>
      <c r="L88" t="s">
        <v>1543</v>
      </c>
      <c r="M88" t="s">
        <v>1552</v>
      </c>
      <c r="N88" t="s">
        <v>1558</v>
      </c>
    </row>
    <row r="89" spans="1:14" ht="14.45">
      <c r="A89" s="64" t="s">
        <v>1570</v>
      </c>
      <c r="B89" s="64" t="s">
        <v>1373</v>
      </c>
      <c r="C89" t="s">
        <v>1381</v>
      </c>
      <c r="D89">
        <v>1995</v>
      </c>
      <c r="E89" t="s">
        <v>1400</v>
      </c>
      <c r="F89" s="90" t="s">
        <v>1568</v>
      </c>
      <c r="H89" t="s">
        <v>989</v>
      </c>
      <c r="J89" s="9" t="str" cm="1">
        <f t="array" ref="J89">_xlfn.TEXTJOIN(", ",TRUE(),_xlfn._xlws.FILTER(Speakers_in_Recordings!$A$2:$A$1502,Speakers_in_Recordings!$B$2:$B$1502=_xlfn.SINGLE(Spkrs[Speaker]),"N/A"))</f>
        <v>19_MA_M.71_Karantina_Birth.CivilWar1, 23_MA_M.71_Karantina_ArmeniansInKarantina, 24_MA_M.71_Karantina_Maslax1.dailyRoutine, 28_MA_M.71_Karantina_ArabilMaslax.ArabXalde, 30_MA_M.71_Karantina_BedouinDialect.Culture, 31_MA_M.71_Karantina_Foodprices.Clothes.Attitude, 32_MA_M.71_Karantina_Actors.Cars, 33_MA_M.71_Karantina_Childhood.Poverty.House, 34_MA_M.71_Karantina_StoriesofPreWarKarantina.Boat.Drugs, 36_MA_M.71_Karantina_PortExplosion, 38_OD_M.72_Karantina_Arab.Tribe.Dialect, 39_OD_M.72_Karantina_CivilWar, 40_OD_M.72_Karantina_ArabilMaslax, 41_OD_M.72_Karantina_DialectLoss.Identity, KS_F.68_Karantina_all, DZ_F.63_Karantina_all, 1.1_KD_F.49_Karantina_IntroPortExplosion, 1.2_KD_F.49_Karantina_GermanyLanguage, 1.3_KD_F.49_Karantina_ReturntoKarantina, 1.4_KD_F.49_Karantina_SocialInjustice, 1.5_KD_F.49_Karantina_ConvowithKZ.Elections, 01_AD_F.67_Naameh_Maslaxbefore1, 02_AD_F.67_Naameh_Maslaxbefore2, 03_AD_F.67_Naameh_Maslaxbefore3, 04_AD_F.67_Naameh_Maslaxbefore4, 05_AD_F.67_Naameh_Maslaxbefore5, 06_AD_F.67_Naameh_Maslaxbefore6, 07_AD_F.67_Naameh_Maslakhbefore7, 01_XX_F.59_Naameh_intro, 02_XX_F.59_Naameh_arms, 01_BL_M.41_Marj_Bedouinsociety_history, 02_BL_M.41_Marj_Islamictraditions_Nasab_visualelicitation</v>
      </c>
      <c r="K89" t="s">
        <v>1542</v>
      </c>
      <c r="L89" t="s">
        <v>1543</v>
      </c>
      <c r="M89" t="s">
        <v>1552</v>
      </c>
      <c r="N89" t="s">
        <v>1558</v>
      </c>
    </row>
    <row r="90" spans="1:14" ht="14.45">
      <c r="A90" s="64" t="s">
        <v>1571</v>
      </c>
      <c r="B90" s="148" t="s">
        <v>1387</v>
      </c>
      <c r="C90" t="s">
        <v>1374</v>
      </c>
      <c r="D90">
        <v>1954</v>
      </c>
      <c r="E90" t="s">
        <v>1390</v>
      </c>
      <c r="F90" s="89" t="s">
        <v>1540</v>
      </c>
      <c r="H90" t="s">
        <v>1541</v>
      </c>
      <c r="I90" t="s">
        <v>1572</v>
      </c>
      <c r="J90" s="9" t="str" cm="1">
        <f t="array" ref="J90">_xlfn.TEXTJOIN(", ",TRUE(),_xlfn._xlws.FILTER(Speakers_in_Recordings!$A$2:$A$1502,Speakers_in_Recordings!$B$2:$B$1502=_xlfn.SINGLE(Spkrs[Speaker]),"N/A"))</f>
        <v>19_MA_M.71_Karantina_Birth.CivilWar1, 36_MA_M.71_Karantina_PortExplosion, 37_MA_M.71_Karantina_BreakfastandGossip</v>
      </c>
      <c r="K90" t="s">
        <v>1547</v>
      </c>
      <c r="L90" t="s">
        <v>1543</v>
      </c>
      <c r="M90" t="s">
        <v>1552</v>
      </c>
      <c r="N90" t="s">
        <v>1548</v>
      </c>
    </row>
    <row r="91" spans="1:14" ht="14.45">
      <c r="A91" s="64" t="s">
        <v>1573</v>
      </c>
      <c r="B91" s="64" t="s">
        <v>1373</v>
      </c>
      <c r="C91" t="s">
        <v>1374</v>
      </c>
      <c r="D91">
        <v>1974</v>
      </c>
      <c r="E91" t="s">
        <v>1384</v>
      </c>
      <c r="F91" s="90" t="s">
        <v>1560</v>
      </c>
      <c r="H91" t="s">
        <v>1541</v>
      </c>
      <c r="I91" t="s">
        <v>1574</v>
      </c>
      <c r="J91" s="9" t="str" cm="1">
        <f t="array" ref="J91">_xlfn.TEXTJOIN(", ",TRUE(),_xlfn._xlws.FILTER(Speakers_in_Recordings!$A$2:$A$1502,Speakers_in_Recordings!$B$2:$B$1502=_xlfn.SINGLE(Spkrs[Speaker]),"N/A"))</f>
        <v>1.1_KD_F.49_Karantina_IntroPortExplosion, 1.2_KD_F.49_Karantina_GermanyLanguage, 1.3_KD_F.49_Karantina_ReturntoKarantina, 1.4_KD_F.49_Karantina_SocialInjustice, 1.5_KD_F.49_Karantina_ConvowithKZ.Elections, 2.1_KD_F.49_Karantina_ARMSdialect.Tribes, 2.2_KD_F.49_Karantina_Bedouinidentity, 2.3_KD_F.49_Karantina_Bedouintraditions.Culture.Daughter, 2.4_KD_F.49_Karantina_Bedouindialects.languageideologies</v>
      </c>
      <c r="K91" t="s">
        <v>1547</v>
      </c>
      <c r="L91" t="s">
        <v>1543</v>
      </c>
      <c r="M91" t="s">
        <v>1552</v>
      </c>
      <c r="N91" t="s">
        <v>1428</v>
      </c>
    </row>
    <row r="92" spans="1:14" ht="14.45">
      <c r="A92" s="64" t="s">
        <v>1575</v>
      </c>
      <c r="B92" s="148" t="s">
        <v>1387</v>
      </c>
      <c r="C92" t="s">
        <v>1374</v>
      </c>
      <c r="D92">
        <v>2002</v>
      </c>
      <c r="E92" t="s">
        <v>1400</v>
      </c>
      <c r="F92" s="89" t="s">
        <v>1568</v>
      </c>
      <c r="H92" t="s">
        <v>1541</v>
      </c>
      <c r="I92" t="s">
        <v>1576</v>
      </c>
      <c r="J92" s="9" t="str" cm="1">
        <f t="array" ref="J92">_xlfn.TEXTJOIN(", ",TRUE(),_xlfn._xlws.FILTER(Speakers_in_Recordings!$A$2:$A$1502,Speakers_in_Recordings!$B$2:$B$1502=_xlfn.SINGLE(Spkrs[Speaker]),"N/A"))</f>
        <v>2.3_KD_F.49_Karantina_Bedouintraditions.Culture.Daughter</v>
      </c>
      <c r="K92" t="s">
        <v>1547</v>
      </c>
      <c r="L92" t="s">
        <v>1543</v>
      </c>
      <c r="M92" t="s">
        <v>1552</v>
      </c>
      <c r="N92" t="s">
        <v>1558</v>
      </c>
    </row>
    <row r="93" spans="1:14" ht="14.45">
      <c r="A93" s="64" t="s">
        <v>1577</v>
      </c>
      <c r="B93" s="148" t="s">
        <v>1387</v>
      </c>
      <c r="C93" t="s">
        <v>1374</v>
      </c>
      <c r="D93">
        <v>2007</v>
      </c>
      <c r="E93" t="s">
        <v>1400</v>
      </c>
      <c r="F93" s="90" t="s">
        <v>1568</v>
      </c>
      <c r="H93" t="s">
        <v>1541</v>
      </c>
      <c r="I93" t="s">
        <v>1569</v>
      </c>
      <c r="J93" s="9" t="str" cm="1">
        <f t="array" ref="J93">_xlfn.TEXTJOIN(", ",TRUE(),_xlfn._xlws.FILTER(Speakers_in_Recordings!$A$2:$A$1502,Speakers_in_Recordings!$B$2:$B$1502=_xlfn.SINGLE(Spkrs[Speaker]),"N/A"))</f>
        <v>1.1_SS_F.45_Karantina_ArMsdialect, 1.2_SS_F.45_Karantina_ArMsD2, 1.3_SS_F.45_Karantina_ArMsbeforeandnow</v>
      </c>
      <c r="K93" t="s">
        <v>1547</v>
      </c>
      <c r="L93" t="s">
        <v>1543</v>
      </c>
      <c r="M93" t="s">
        <v>1552</v>
      </c>
      <c r="N93" t="s">
        <v>1428</v>
      </c>
    </row>
    <row r="94" spans="1:14" ht="14.45">
      <c r="A94" s="64" t="s">
        <v>1578</v>
      </c>
      <c r="B94" s="64" t="s">
        <v>1373</v>
      </c>
      <c r="C94" t="s">
        <v>1374</v>
      </c>
      <c r="D94">
        <v>2002</v>
      </c>
      <c r="E94" t="s">
        <v>1400</v>
      </c>
      <c r="F94" s="89" t="s">
        <v>1568</v>
      </c>
      <c r="H94" t="s">
        <v>1541</v>
      </c>
      <c r="I94" t="s">
        <v>1579</v>
      </c>
      <c r="J94" s="9" t="str" cm="1">
        <f t="array" ref="J94">_xlfn.TEXTJOIN(", ",TRUE(),_xlfn._xlws.FILTER(Speakers_in_Recordings!$A$2:$A$1502,Speakers_in_Recordings!$B$2:$B$1502=_xlfn.SINGLE(Spkrs[Speaker]),"N/A"))</f>
        <v>1.1_SS_F.45_Karantina_ArMsdialect, 1.2_SS_F.45_Karantina_ArMsD2, 1.3_SS_F.45_Karantina_ArMsbeforeandnow</v>
      </c>
      <c r="K94" t="s">
        <v>1547</v>
      </c>
      <c r="L94" t="s">
        <v>1543</v>
      </c>
      <c r="M94" t="s">
        <v>1552</v>
      </c>
      <c r="N94" t="s">
        <v>1428</v>
      </c>
    </row>
    <row r="95" spans="1:14" ht="14.45">
      <c r="A95" t="s">
        <v>1580</v>
      </c>
      <c r="B95" t="s">
        <v>1373</v>
      </c>
      <c r="C95" t="s">
        <v>1374</v>
      </c>
      <c r="D95">
        <v>2003</v>
      </c>
      <c r="E95" t="s">
        <v>1400</v>
      </c>
      <c r="F95" s="90" t="s">
        <v>1568</v>
      </c>
      <c r="H95" t="s">
        <v>1541</v>
      </c>
      <c r="I95" t="s">
        <v>1581</v>
      </c>
      <c r="J95" s="9" t="str" cm="1">
        <f t="array" ref="J95">_xlfn.TEXTJOIN(", ",TRUE(),_xlfn._xlws.FILTER(Speakers_in_Recordings!$A$2:$A$1502,Speakers_in_Recordings!$B$2:$B$1502=_xlfn.SINGLE(Spkrs[Speaker]),"N/A"))</f>
        <v>JS_F.19_Karantina_all</v>
      </c>
      <c r="K95" t="s">
        <v>1542</v>
      </c>
      <c r="L95" t="s">
        <v>1543</v>
      </c>
      <c r="M95" t="s">
        <v>1552</v>
      </c>
      <c r="N95" t="s">
        <v>1558</v>
      </c>
    </row>
    <row r="96" spans="1:14" ht="14.45">
      <c r="A96" s="64" t="s">
        <v>1582</v>
      </c>
      <c r="B96" s="64" t="s">
        <v>1373</v>
      </c>
      <c r="C96" t="s">
        <v>1374</v>
      </c>
      <c r="D96">
        <v>1966</v>
      </c>
      <c r="E96" t="s">
        <v>1384</v>
      </c>
      <c r="F96" s="89" t="s">
        <v>1560</v>
      </c>
      <c r="H96" t="s">
        <v>1541</v>
      </c>
      <c r="I96" t="s">
        <v>1583</v>
      </c>
      <c r="J96" s="9" t="str" cm="1">
        <f t="array" ref="J96">_xlfn.TEXTJOIN(", ",TRUE(),_xlfn._xlws.FILTER(Speakers_in_Recordings!$A$2:$A$1502,Speakers_in_Recordings!$B$2:$B$1502=_xlfn.SINGLE(Spkrs[Speaker]),"N/A"))</f>
        <v>BK_F.57_Karantina_lifestory</v>
      </c>
      <c r="K96" t="s">
        <v>1542</v>
      </c>
      <c r="L96" t="s">
        <v>1556</v>
      </c>
      <c r="M96" t="s">
        <v>1552</v>
      </c>
      <c r="N96" t="s">
        <v>1548</v>
      </c>
    </row>
    <row r="97" spans="1:14" ht="14.45">
      <c r="A97" s="64" t="s">
        <v>1584</v>
      </c>
      <c r="B97" s="64" t="s">
        <v>1373</v>
      </c>
      <c r="C97" t="s">
        <v>1381</v>
      </c>
      <c r="D97" s="108">
        <v>1968</v>
      </c>
      <c r="E97" s="108" t="s">
        <v>1384</v>
      </c>
      <c r="F97" s="90" t="s">
        <v>1560</v>
      </c>
      <c r="H97" t="s">
        <v>1541</v>
      </c>
      <c r="J97" s="9" t="str" cm="1">
        <f t="array" ref="J97">_xlfn.TEXTJOIN(", ",TRUE(),_xlfn._xlws.FILTER(Speakers_in_Recordings!$A$2:$A$1502,Speakers_in_Recordings!$B$2:$B$1502=_xlfn.SINGLE(Spkrs[Speaker]),"N/A"))</f>
        <v>04_SKh_M.63_Karantina_convowithM.55</v>
      </c>
      <c r="K97" t="s">
        <v>1547</v>
      </c>
      <c r="L97" t="s">
        <v>1543</v>
      </c>
      <c r="M97" t="s">
        <v>1552</v>
      </c>
      <c r="N97" t="s">
        <v>1548</v>
      </c>
    </row>
    <row r="98" spans="1:14" ht="14.45">
      <c r="A98" s="64" t="s">
        <v>1585</v>
      </c>
      <c r="B98" s="64" t="s">
        <v>1373</v>
      </c>
      <c r="C98" t="s">
        <v>1374</v>
      </c>
      <c r="D98">
        <v>1979</v>
      </c>
      <c r="E98" t="s">
        <v>1397</v>
      </c>
      <c r="F98" s="89" t="s">
        <v>1565</v>
      </c>
      <c r="H98" t="s">
        <v>1541</v>
      </c>
      <c r="J98" s="9" t="str" cm="1">
        <f t="array" ref="J98">_xlfn.TEXTJOIN(", ",TRUE(),_xlfn._xlws.FILTER(Speakers_in_Recordings!$A$2:$A$1502,Speakers_in_Recordings!$B$2:$B$1502=_xlfn.SINGLE(Spkrs[Speaker]),"N/A"))</f>
        <v>01_SKh_M.63_Karantina_proyect.F.44passesby, 04_SKh_M.63_Karantina_convowithM.55</v>
      </c>
      <c r="K98" t="s">
        <v>1542</v>
      </c>
      <c r="L98" t="s">
        <v>1543</v>
      </c>
      <c r="M98" t="s">
        <v>1552</v>
      </c>
      <c r="N98" t="s">
        <v>1428</v>
      </c>
    </row>
    <row r="99" spans="1:14" ht="14.45">
      <c r="A99" s="64" t="s">
        <v>1586</v>
      </c>
      <c r="B99" s="64" t="s">
        <v>1373</v>
      </c>
      <c r="C99" t="s">
        <v>1381</v>
      </c>
      <c r="D99">
        <v>1959</v>
      </c>
      <c r="E99" t="s">
        <v>1390</v>
      </c>
      <c r="F99" s="90" t="s">
        <v>1554</v>
      </c>
      <c r="H99" t="s">
        <v>1541</v>
      </c>
      <c r="J99" s="9" t="str" cm="1">
        <f t="array" ref="J99">_xlfn.TEXTJOIN(", ",TRUE(),_xlfn._xlws.FILTER(Speakers_in_Recordings!$A$2:$A$1502,Speakers_in_Recordings!$B$2:$B$1502=_xlfn.SINGLE(Spkrs[Speaker]),"N/A"))</f>
        <v>02_SKh_M.63_Karantina_bedouindialectideologies, 03_SKh_M.63_Karantina_convowithkidsellingcoffee</v>
      </c>
      <c r="K99" t="s">
        <v>1542</v>
      </c>
      <c r="L99" t="s">
        <v>1543</v>
      </c>
      <c r="M99" t="s">
        <v>1552</v>
      </c>
      <c r="N99" t="s">
        <v>1428</v>
      </c>
    </row>
    <row r="100" spans="1:14" ht="14.45">
      <c r="A100" s="64" t="s">
        <v>1587</v>
      </c>
      <c r="B100" s="64" t="s">
        <v>1373</v>
      </c>
      <c r="C100" t="s">
        <v>1374</v>
      </c>
      <c r="D100">
        <v>1957</v>
      </c>
      <c r="E100" t="s">
        <v>1390</v>
      </c>
      <c r="F100" s="89" t="s">
        <v>1540</v>
      </c>
      <c r="H100" t="s">
        <v>1541</v>
      </c>
      <c r="I100" t="s">
        <v>1588</v>
      </c>
      <c r="J100" s="9" t="str" cm="1">
        <f t="array" ref="J100">_xlfn.TEXTJOIN(", ",TRUE(),_xlfn._xlws.FILTER(Speakers_in_Recordings!$A$2:$A$1502,Speakers_in_Recordings!$B$2:$B$1502=_xlfn.SINGLE(Spkrs[Speaker]),"N/A"))</f>
        <v>01_NH_F.66_Karantina_hardlife, 02_NH_F.66_Karantina_ARMSandlanguageideologies</v>
      </c>
      <c r="K100" t="s">
        <v>1551</v>
      </c>
      <c r="L100" t="s">
        <v>1543</v>
      </c>
      <c r="M100" t="s">
        <v>1552</v>
      </c>
      <c r="N100" t="s">
        <v>1548</v>
      </c>
    </row>
    <row r="101" spans="1:14" ht="14.45">
      <c r="A101" s="64" t="s">
        <v>1589</v>
      </c>
      <c r="B101" s="64" t="s">
        <v>1373</v>
      </c>
      <c r="C101" t="s">
        <v>1374</v>
      </c>
      <c r="D101">
        <v>1977</v>
      </c>
      <c r="E101" t="s">
        <v>1384</v>
      </c>
      <c r="F101" s="89" t="s">
        <v>1565</v>
      </c>
      <c r="H101" t="s">
        <v>1541</v>
      </c>
      <c r="I101" t="s">
        <v>1590</v>
      </c>
      <c r="J101" s="9" t="str" cm="1">
        <f t="array" ref="J101">_xlfn.TEXTJOIN(", ",TRUE(),_xlfn._xlws.FILTER(Speakers_in_Recordings!$A$2:$A$1502,Speakers_in_Recordings!$B$2:$B$1502=_xlfn.SINGLE(Spkrs[Speaker]),"N/A"))</f>
        <v>N/A</v>
      </c>
      <c r="K101" t="s">
        <v>1547</v>
      </c>
      <c r="L101" t="s">
        <v>1543</v>
      </c>
      <c r="M101" t="s">
        <v>1552</v>
      </c>
      <c r="N101" t="s">
        <v>1428</v>
      </c>
    </row>
    <row r="102" spans="1:14" ht="14.45">
      <c r="A102" s="64" t="s">
        <v>1591</v>
      </c>
      <c r="B102" s="64" t="s">
        <v>1373</v>
      </c>
      <c r="C102" t="s">
        <v>1381</v>
      </c>
      <c r="D102">
        <v>1999</v>
      </c>
      <c r="E102" t="s">
        <v>1400</v>
      </c>
      <c r="F102" s="89" t="s">
        <v>1568</v>
      </c>
      <c r="H102" t="s">
        <v>1541</v>
      </c>
      <c r="J102" s="9" t="str" cm="1">
        <f t="array" ref="J102">_xlfn.TEXTJOIN(", ",TRUE(),_xlfn._xlws.FILTER(Speakers_in_Recordings!$A$2:$A$1502,Speakers_in_Recordings!$B$2:$B$1502=_xlfn.SINGLE(Spkrs[Speaker]),"N/A"))</f>
        <v>01_S1_M.23_M.26_M.34_shabab</v>
      </c>
      <c r="K102" t="s">
        <v>1542</v>
      </c>
      <c r="L102" t="s">
        <v>1543</v>
      </c>
      <c r="M102" t="s">
        <v>1552</v>
      </c>
      <c r="N102" t="s">
        <v>1428</v>
      </c>
    </row>
    <row r="103" spans="1:14" ht="14.45">
      <c r="A103" s="64" t="s">
        <v>1592</v>
      </c>
      <c r="B103" s="64" t="s">
        <v>1373</v>
      </c>
      <c r="C103" t="s">
        <v>1381</v>
      </c>
      <c r="D103">
        <v>1996</v>
      </c>
      <c r="E103" t="s">
        <v>1376</v>
      </c>
      <c r="F103" s="89" t="s">
        <v>1568</v>
      </c>
      <c r="H103" t="s">
        <v>1541</v>
      </c>
      <c r="J103" s="9" t="str" cm="1">
        <f t="array" ref="J103">_xlfn.TEXTJOIN(", ",TRUE(),_xlfn._xlws.FILTER(Speakers_in_Recordings!$A$2:$A$1502,Speakers_in_Recordings!$B$2:$B$1502=_xlfn.SINGLE(Spkrs[Speaker]),"N/A"))</f>
        <v>01_S1_M.23_M.26_M.34_shabab</v>
      </c>
      <c r="K103" t="s">
        <v>1542</v>
      </c>
      <c r="L103" t="s">
        <v>1543</v>
      </c>
      <c r="M103" t="s">
        <v>1552</v>
      </c>
      <c r="N103" t="s">
        <v>1428</v>
      </c>
    </row>
    <row r="104" spans="1:14" ht="14.45">
      <c r="A104" s="64" t="s">
        <v>1593</v>
      </c>
      <c r="B104" s="64" t="s">
        <v>1373</v>
      </c>
      <c r="C104" t="s">
        <v>1381</v>
      </c>
      <c r="D104">
        <v>1989</v>
      </c>
      <c r="E104" t="s">
        <v>1376</v>
      </c>
      <c r="F104" s="89" t="s">
        <v>1565</v>
      </c>
      <c r="H104" t="s">
        <v>1541</v>
      </c>
      <c r="J104" s="9" t="str" cm="1">
        <f t="array" ref="J104">_xlfn.TEXTJOIN(", ",TRUE(),_xlfn._xlws.FILTER(Speakers_in_Recordings!$A$2:$A$1502,Speakers_in_Recordings!$B$2:$B$1502=_xlfn.SINGLE(Spkrs[Speaker]),"N/A"))</f>
        <v>01_S1_M.23_M.26_M.34_shabab</v>
      </c>
      <c r="K104" t="s">
        <v>1547</v>
      </c>
      <c r="L104" t="s">
        <v>1543</v>
      </c>
      <c r="M104" t="s">
        <v>1552</v>
      </c>
      <c r="N104" t="s">
        <v>1428</v>
      </c>
    </row>
    <row r="105" spans="1:14" ht="14.45">
      <c r="A105" s="64" t="s">
        <v>1594</v>
      </c>
      <c r="B105" s="64" t="s">
        <v>1373</v>
      </c>
      <c r="C105" t="s">
        <v>1381</v>
      </c>
      <c r="D105">
        <v>1992</v>
      </c>
      <c r="E105" t="s">
        <v>1376</v>
      </c>
      <c r="F105" s="89" t="s">
        <v>1568</v>
      </c>
      <c r="H105" t="s">
        <v>1541</v>
      </c>
      <c r="J105" s="9" t="str" cm="1">
        <f t="array" ref="J105">_xlfn.TEXTJOIN(", ",TRUE(),_xlfn._xlws.FILTER(Speakers_in_Recordings!$A$2:$A$1502,Speakers_in_Recordings!$B$2:$B$1502=_xlfn.SINGLE(Spkrs[Speaker]),"N/A"))</f>
        <v>N/A</v>
      </c>
      <c r="K105" t="s">
        <v>1595</v>
      </c>
      <c r="L105" t="s">
        <v>1596</v>
      </c>
      <c r="M105" t="s">
        <v>1552</v>
      </c>
      <c r="N105" t="s">
        <v>1428</v>
      </c>
    </row>
    <row r="106" spans="1:14" ht="14.45">
      <c r="A106" s="64" t="s">
        <v>1597</v>
      </c>
      <c r="B106" s="64" t="s">
        <v>1373</v>
      </c>
      <c r="C106" t="s">
        <v>1381</v>
      </c>
      <c r="D106">
        <v>1963</v>
      </c>
      <c r="E106" t="s">
        <v>1390</v>
      </c>
      <c r="F106" s="90" t="s">
        <v>1554</v>
      </c>
      <c r="H106" t="s">
        <v>1541</v>
      </c>
      <c r="J106" s="9" t="str" cm="1">
        <f t="array" ref="J106">_xlfn.TEXTJOIN(", ",TRUE(),_xlfn._xlws.FILTER(Speakers_in_Recordings!$A$2:$A$1502,Speakers_in_Recordings!$B$2:$B$1502=_xlfn.SINGLE(Spkrs[Speaker]),"N/A"))</f>
        <v>N/A</v>
      </c>
      <c r="K106" t="s">
        <v>1547</v>
      </c>
      <c r="L106" t="s">
        <v>1543</v>
      </c>
      <c r="M106" t="s">
        <v>1552</v>
      </c>
      <c r="N106" t="s">
        <v>1548</v>
      </c>
    </row>
    <row r="107" spans="1:14" ht="14.45">
      <c r="A107" s="64" t="s">
        <v>1598</v>
      </c>
      <c r="B107" s="148" t="s">
        <v>1387</v>
      </c>
      <c r="C107" t="s">
        <v>1374</v>
      </c>
      <c r="D107">
        <v>1956</v>
      </c>
      <c r="E107" t="s">
        <v>1390</v>
      </c>
      <c r="F107" s="90" t="s">
        <v>1540</v>
      </c>
      <c r="H107" t="s">
        <v>989</v>
      </c>
      <c r="I107" t="s">
        <v>1599</v>
      </c>
      <c r="J107" s="9" t="str" cm="1">
        <f t="array" ref="J107">_xlfn.TEXTJOIN(", ",TRUE(),_xlfn._xlws.FILTER(Speakers_in_Recordings!$A$2:$A$1502,Speakers_in_Recordings!$B$2:$B$1502=_xlfn.SINGLE(Spkrs[Speaker]),"N/A"))</f>
        <v>01_AD_F.67_Naameh_Maslaxbefore1, 02_AD_F.67_Naameh_Maslaxbefore2, 03_AD_F.67_Naameh_Maslaxbefore3, 04_AD_F.67_Naameh_Maslaxbefore4, 05_AD_F.67_Naameh_Maslaxbefore5, 06_AD_F.67_Naameh_Maslaxbefore6, 07_AD_F.67_Naameh_Maslakhbefore7</v>
      </c>
      <c r="K107" t="s">
        <v>1542</v>
      </c>
      <c r="L107" t="s">
        <v>1543</v>
      </c>
      <c r="M107" t="s">
        <v>1552</v>
      </c>
      <c r="N107" t="s">
        <v>1548</v>
      </c>
    </row>
    <row r="108" spans="1:14" ht="14.45">
      <c r="A108" s="64" t="s">
        <v>1600</v>
      </c>
      <c r="B108" s="148" t="s">
        <v>1387</v>
      </c>
      <c r="C108" t="s">
        <v>1374</v>
      </c>
      <c r="D108">
        <v>1964</v>
      </c>
      <c r="E108" t="s">
        <v>1390</v>
      </c>
      <c r="F108" s="107" t="s">
        <v>1554</v>
      </c>
      <c r="H108" t="s">
        <v>989</v>
      </c>
      <c r="I108" t="s">
        <v>1601</v>
      </c>
      <c r="J108" s="9" t="str" cm="1">
        <f t="array" ref="J108">_xlfn.TEXTJOIN(", ",TRUE(),_xlfn._xlws.FILTER(Speakers_in_Recordings!$A$2:$A$1502,Speakers_in_Recordings!$B$2:$B$1502=_xlfn.SINGLE(Spkrs[Speaker]),"N/A"))</f>
        <v>01_XX_F.59_Naameh_intro, 02_XX_F.59_Naameh_arms</v>
      </c>
      <c r="K108" t="s">
        <v>1551</v>
      </c>
      <c r="L108" t="s">
        <v>1543</v>
      </c>
      <c r="M108" t="s">
        <v>1552</v>
      </c>
      <c r="N108" t="s">
        <v>1548</v>
      </c>
    </row>
    <row r="109" spans="1:14" ht="14.45">
      <c r="A109" s="64" t="s">
        <v>1602</v>
      </c>
      <c r="B109" s="148" t="s">
        <v>1387</v>
      </c>
      <c r="C109" t="s">
        <v>1381</v>
      </c>
      <c r="D109">
        <v>1957</v>
      </c>
      <c r="E109" t="s">
        <v>1382</v>
      </c>
      <c r="F109" s="107" t="s">
        <v>1540</v>
      </c>
      <c r="H109" t="s">
        <v>989</v>
      </c>
      <c r="J109" s="9" t="str" cm="1">
        <f t="array" ref="J109">_xlfn.TEXTJOIN(", ",TRUE(),_xlfn._xlws.FILTER(Speakers_in_Recordings!$A$2:$A$1502,Speakers_in_Recordings!$B$2:$B$1502=_xlfn.SINGLE(Spkrs[Speaker]),"N/A"))</f>
        <v>N/A</v>
      </c>
      <c r="K109" t="s">
        <v>1551</v>
      </c>
      <c r="L109" t="s">
        <v>1543</v>
      </c>
      <c r="M109" t="s">
        <v>1544</v>
      </c>
      <c r="N109" t="s">
        <v>1548</v>
      </c>
    </row>
    <row r="110" spans="1:14" ht="14.45">
      <c r="A110" s="72" t="s">
        <v>1603</v>
      </c>
      <c r="B110" s="72" t="s">
        <v>1373</v>
      </c>
      <c r="C110" t="s">
        <v>1381</v>
      </c>
      <c r="D110">
        <v>1962</v>
      </c>
      <c r="E110" t="s">
        <v>1390</v>
      </c>
      <c r="H110" t="s">
        <v>1006</v>
      </c>
      <c r="J110" s="9" t="str" cm="1">
        <f t="array" ref="J110">_xlfn.TEXTJOIN(", ",TRUE(),_xlfn._xlws.FILTER(Speakers_in_Recordings!$A$2:$A$1502,Speakers_in_Recordings!$B$2:$B$1502=_xlfn.SINGLE(Spkrs[Speaker]),"N/A"))</f>
        <v>01_RD_M.61_Khalde_PreservingBedouinTraditions, 02_RD_M.61_Khalde_MarriageandConflictresolution, 03_RD_M.61_Khalde_DialectandAuthenticity, 04_RD_M.61_Khalde_KarmwQarn, 05_RD_M.61_Khalde_ArabLubnan.Identity.Seminomadism, 07_RD_M.61_Khalde_CustomsTribes_OralLiterature, 08_RD_M.61_Khalde_OurPoems, 09_RD_M.61_Khalde_khashm_purityofBedouinArabic, 10_RD_M.61_Khalde_HistoryofArabs, 11_RD_M.61_Khalde_MixingofArab_storyCousin, 12_RD_M.61_Khalde_Claudiaghazal, 13_RD_M.61_Khalde_IdeologiesQAFandArabicGrammarQuran</v>
      </c>
      <c r="K110" t="s">
        <v>1547</v>
      </c>
      <c r="L110" t="s">
        <v>1543</v>
      </c>
      <c r="M110" t="s">
        <v>1552</v>
      </c>
      <c r="N110" t="s">
        <v>1428</v>
      </c>
    </row>
    <row r="111" spans="1:14" ht="14.45">
      <c r="A111" s="72" t="s">
        <v>1604</v>
      </c>
      <c r="B111" s="72" t="s">
        <v>1373</v>
      </c>
      <c r="C111" t="s">
        <v>1381</v>
      </c>
      <c r="D111">
        <v>1990</v>
      </c>
      <c r="E111" t="s">
        <v>1376</v>
      </c>
      <c r="H111" t="s">
        <v>1006</v>
      </c>
      <c r="J111" s="9" t="str" cm="1">
        <f t="array" ref="J111">_xlfn.TEXTJOIN(", ",TRUE(),_xlfn._xlws.FILTER(Speakers_in_Recordings!$A$2:$A$1502,Speakers_in_Recordings!$B$2:$B$1502=_xlfn.SINGLE(Spkrs[Speaker]),"N/A"))</f>
        <v>01_HD_M.31_Khalde_QuestionnairegrammarPart1, 02_HD_M.31_Khalde_QuestionnairegrammarPart2, 03_HD_M.31_Khalde_QuestionnairegrammarPart3_akalparadigms_ipfv3plmdiscussion, 04_HD_M.31_Khalde_QuestionnairegrammarPart4, 05_HD_M.31_Khalde_QuestionnairegrammarPart5_ntaparadigms, 06_HD_M.31_Khalde_QuestionnairegrammarPart6, 07_HD_M.31_Khalde_QuestionnairegrammarPart7, 09_HD_M.31_Khalde_QuestionnairevisualPart1, 10_HD_M.31_Khalde_QuestionnairevisualPart2_tocomeparadigm, 11_HD_M.31_Khalde_QuestionnairevisualPart3_tarakdashar3af, 12_HD_M.31_Khalde_QuestionnairevisualPart4_actioncards</v>
      </c>
      <c r="K111" t="s">
        <v>1547</v>
      </c>
      <c r="L111" t="s">
        <v>1543</v>
      </c>
      <c r="M111" t="s">
        <v>1552</v>
      </c>
      <c r="N111" t="s">
        <v>1558</v>
      </c>
    </row>
    <row r="112" spans="1:14" ht="14.45">
      <c r="A112" s="72" t="s">
        <v>1605</v>
      </c>
      <c r="B112" s="72" t="s">
        <v>1387</v>
      </c>
      <c r="C112" t="s">
        <v>1381</v>
      </c>
      <c r="D112">
        <v>1988</v>
      </c>
      <c r="E112" t="s">
        <v>1376</v>
      </c>
      <c r="H112" t="s">
        <v>1006</v>
      </c>
      <c r="J112" s="9" t="str" cm="1">
        <f t="array" ref="J112">_xlfn.TEXTJOIN(", ",TRUE(),_xlfn._xlws.FILTER(Speakers_in_Recordings!$A$2:$A$1502,Speakers_in_Recordings!$B$2:$B$1502=_xlfn.SINGLE(Spkrs[Speaker]),"N/A"))</f>
        <v>13_RD_M.61_Khalde_IdeologiesQAFandArabicGrammarQuran</v>
      </c>
      <c r="K112" t="s">
        <v>1547</v>
      </c>
      <c r="L112" t="s">
        <v>1543</v>
      </c>
      <c r="M112" t="s">
        <v>1552</v>
      </c>
      <c r="N112" t="s">
        <v>1428</v>
      </c>
    </row>
    <row r="113" spans="1:14" ht="14.45">
      <c r="A113" s="72" t="s">
        <v>1606</v>
      </c>
      <c r="B113" s="72" t="s">
        <v>1373</v>
      </c>
      <c r="C113" t="s">
        <v>1381</v>
      </c>
      <c r="D113">
        <v>1982</v>
      </c>
      <c r="E113" t="s">
        <v>1397</v>
      </c>
      <c r="H113" t="s">
        <v>1045</v>
      </c>
      <c r="J113" s="9" t="str" cm="1">
        <f t="array" ref="J113">_xlfn.TEXTJOIN(", ",TRUE(),_xlfn._xlws.FILTER(Speakers_in_Recordings!$A$2:$A$1502,Speakers_in_Recordings!$B$2:$B$1502=_xlfn.SINGLE(Spkrs[Speaker]),"N/A"))</f>
        <v>01_BL_M.41_Marj_Bedouinsociety_history, 02_BL_M.41_Marj_Islamictraditions_Nasab_visualelicitation</v>
      </c>
      <c r="K113" t="s">
        <v>1607</v>
      </c>
      <c r="L113" t="s">
        <v>1543</v>
      </c>
      <c r="M113" t="s">
        <v>1544</v>
      </c>
      <c r="N113" t="s">
        <v>1428</v>
      </c>
    </row>
    <row r="114" spans="1:14" ht="14.45">
      <c r="A114" s="72" t="s">
        <v>1608</v>
      </c>
      <c r="B114" s="72" t="s">
        <v>1373</v>
      </c>
      <c r="C114" t="s">
        <v>1381</v>
      </c>
      <c r="D114">
        <v>1973</v>
      </c>
      <c r="E114" t="s">
        <v>1384</v>
      </c>
      <c r="H114" t="s">
        <v>1045</v>
      </c>
      <c r="J114" s="9" t="str" cm="1">
        <f t="array" ref="J114">_xlfn.TEXTJOIN(", ",TRUE(),_xlfn._xlws.FILTER(Speakers_in_Recordings!$A$2:$A$1502,Speakers_in_Recordings!$B$2:$B$1502=_xlfn.SINGLE(Spkrs[Speaker]),"N/A"))</f>
        <v>N/A</v>
      </c>
      <c r="K114" t="s">
        <v>1607</v>
      </c>
    </row>
    <row r="115" spans="1:14" ht="14.45">
      <c r="A115" s="72" t="s">
        <v>1609</v>
      </c>
      <c r="B115" s="72" t="s">
        <v>1373</v>
      </c>
      <c r="C115" t="s">
        <v>1381</v>
      </c>
      <c r="D115">
        <v>1957</v>
      </c>
      <c r="E115" t="s">
        <v>1382</v>
      </c>
      <c r="H115" t="s">
        <v>1052</v>
      </c>
      <c r="J115" s="9" t="str" cm="1">
        <f t="array" ref="J115">_xlfn.TEXTJOIN(", ",TRUE(),_xlfn._xlws.FILTER(Speakers_in_Recordings!$A$2:$A$1502,Speakers_in_Recordings!$B$2:$B$1502=_xlfn.SINGLE(Spkrs[Speaker]),"N/A"))</f>
        <v>01_MN_F.61_HaouchelHarime_Intro_traditions, 06_LF_M.66_HaouchelHarime_freespeech, 07_LF_M.66_HaouchelHarime_freespeech2, 08_LF_M.66_HaouchelHarime_freespeech3</v>
      </c>
      <c r="K115" t="s">
        <v>1610</v>
      </c>
      <c r="N115" t="s">
        <v>1548</v>
      </c>
    </row>
    <row r="116" spans="1:14" ht="14.45">
      <c r="A116" s="72" t="s">
        <v>1611</v>
      </c>
      <c r="B116" s="72" t="s">
        <v>1373</v>
      </c>
      <c r="C116" t="s">
        <v>1381</v>
      </c>
      <c r="D116">
        <v>1952</v>
      </c>
      <c r="E116" t="s">
        <v>1382</v>
      </c>
      <c r="H116" t="s">
        <v>1052</v>
      </c>
      <c r="J116" s="9" t="str" cm="1">
        <f t="array" ref="J116">_xlfn.TEXTJOIN(", ",TRUE(),_xlfn._xlws.FILTER(Speakers_in_Recordings!$A$2:$A$1502,Speakers_in_Recordings!$B$2:$B$1502=_xlfn.SINGLE(Spkrs[Speaker]),"N/A"))</f>
        <v>04_AS_M.71_HaouchelHarime_free</v>
      </c>
      <c r="K116" t="s">
        <v>1610</v>
      </c>
      <c r="N116" t="s">
        <v>1548</v>
      </c>
    </row>
    <row r="117" spans="1:14" ht="14.45">
      <c r="A117" s="72" t="s">
        <v>1612</v>
      </c>
      <c r="B117" s="72" t="s">
        <v>1373</v>
      </c>
      <c r="C117" t="s">
        <v>1374</v>
      </c>
      <c r="D117">
        <v>1962</v>
      </c>
      <c r="E117" t="s">
        <v>1390</v>
      </c>
      <c r="H117" t="s">
        <v>1052</v>
      </c>
      <c r="I117" t="s">
        <v>1613</v>
      </c>
      <c r="J117" s="9" t="str" cm="1">
        <f t="array" ref="J117">_xlfn.TEXTJOIN(", ",TRUE(),_xlfn._xlws.FILTER(Speakers_in_Recordings!$A$2:$A$1502,Speakers_in_Recordings!$B$2:$B$1502=_xlfn.SINGLE(Spkrs[Speaker]),"N/A"))</f>
        <v>01_MN_F.61_HaouchelHarime_Intro_traditions, 02_MN_F.61_MH_F.64_HaouchelHarime_bodyparts, 03_MN_F.61_MH_F.64_HaouchelHarime_visualelicitation_questionnaire</v>
      </c>
      <c r="K117" t="s">
        <v>1610</v>
      </c>
    </row>
    <row r="118" spans="1:14" ht="14.45">
      <c r="A118" s="72" t="s">
        <v>1614</v>
      </c>
      <c r="B118" s="72" t="s">
        <v>1373</v>
      </c>
      <c r="C118" t="s">
        <v>1374</v>
      </c>
      <c r="D118">
        <v>1959</v>
      </c>
      <c r="E118" t="s">
        <v>1390</v>
      </c>
      <c r="H118" t="s">
        <v>1052</v>
      </c>
      <c r="I118" t="s">
        <v>1615</v>
      </c>
      <c r="J118" s="9" t="str" cm="1">
        <f t="array" ref="J118">_xlfn.TEXTJOIN(", ",TRUE(),_xlfn._xlws.FILTER(Speakers_in_Recordings!$A$2:$A$1502,Speakers_in_Recordings!$B$2:$B$1502=_xlfn.SINGLE(Spkrs[Speaker]),"N/A"))</f>
        <v>01_MN_F.61_HaouchelHarime_Intro_traditions, 02_MN_F.61_MH_F.64_HaouchelHarime_bodyparts, 03_MN_F.61_MH_F.64_HaouchelHarime_visualelicitation_questionnaire</v>
      </c>
      <c r="K118" t="s">
        <v>1610</v>
      </c>
    </row>
    <row r="119" spans="1:14" ht="14.45">
      <c r="A119" s="72" t="s">
        <v>1616</v>
      </c>
      <c r="B119" s="72" t="s">
        <v>1373</v>
      </c>
      <c r="C119" t="s">
        <v>1381</v>
      </c>
      <c r="D119">
        <v>1972</v>
      </c>
      <c r="E119" t="s">
        <v>1384</v>
      </c>
      <c r="H119" t="s">
        <v>1065</v>
      </c>
      <c r="J119" s="9" t="str" cm="1">
        <f t="array" ref="J119">_xlfn.TEXTJOIN(", ",TRUE(),_xlfn._xlws.FILTER(Speakers_in_Recordings!$A$2:$A$1502,Speakers_in_Recordings!$B$2:$B$1502=_xlfn.SINGLE(Spkrs[Speaker]),"N/A"))</f>
        <v>01_NH_M.51_MH_M.80_NabaaalFaour_questionnaire, 02_NH_M.51_MH_M.80_NabaaalFaour_free, 03_NH_M.51_NabaaalFaour_bodyparts_free, 04_NH_M.51_NabaaalFaour_free</v>
      </c>
      <c r="K119" t="s">
        <v>1617</v>
      </c>
    </row>
    <row r="120" spans="1:14" ht="14.45">
      <c r="A120" s="72" t="s">
        <v>1618</v>
      </c>
      <c r="B120" s="72" t="s">
        <v>1373</v>
      </c>
      <c r="C120" t="s">
        <v>1381</v>
      </c>
      <c r="D120">
        <v>1942</v>
      </c>
      <c r="E120" t="s">
        <v>1445</v>
      </c>
      <c r="H120" t="s">
        <v>1065</v>
      </c>
      <c r="J120" s="9" t="str" cm="1">
        <f t="array" ref="J120">_xlfn.TEXTJOIN(", ",TRUE(),_xlfn._xlws.FILTER(Speakers_in_Recordings!$A$2:$A$1502,Speakers_in_Recordings!$B$2:$B$1502=_xlfn.SINGLE(Spkrs[Speaker]),"N/A"))</f>
        <v>01_NH_M.51_MH_M.80_NabaaalFaour_questionnaire, 02_NH_M.51_MH_M.80_NabaaalFaour_free, 05_MH_M.80_NabaaalFaour_questionnaire</v>
      </c>
      <c r="K120" t="s">
        <v>1617</v>
      </c>
    </row>
    <row r="121" spans="1:14" ht="14.45">
      <c r="A121" s="72" t="s">
        <v>1619</v>
      </c>
      <c r="B121" s="72" t="s">
        <v>1373</v>
      </c>
      <c r="C121" t="s">
        <v>1374</v>
      </c>
      <c r="D121">
        <v>1974</v>
      </c>
      <c r="E121" t="s">
        <v>1384</v>
      </c>
      <c r="H121" t="s">
        <v>1065</v>
      </c>
      <c r="J121" s="9" t="str" cm="1">
        <f t="array" ref="J121">_xlfn.TEXTJOIN(", ",TRUE(),_xlfn._xlws.FILTER(Speakers_in_Recordings!$A$2:$A$1502,Speakers_in_Recordings!$B$2:$B$1502=_xlfn.SINGLE(Spkrs[Speaker]),"N/A"))</f>
        <v>06_SH_49_IH_F.50_DG_F.37_NabaaalFaour_womenstalk</v>
      </c>
      <c r="K121" t="s">
        <v>1617</v>
      </c>
    </row>
    <row r="122" spans="1:14" ht="14.45">
      <c r="A122" s="72" t="s">
        <v>1620</v>
      </c>
      <c r="B122" s="72" t="s">
        <v>1373</v>
      </c>
      <c r="C122" t="s">
        <v>1374</v>
      </c>
      <c r="D122">
        <v>1973</v>
      </c>
      <c r="E122" t="s">
        <v>1384</v>
      </c>
      <c r="H122" t="s">
        <v>1065</v>
      </c>
      <c r="J122" s="9" t="str" cm="1">
        <f t="array" ref="J122">_xlfn.TEXTJOIN(", ",TRUE(),_xlfn._xlws.FILTER(Speakers_in_Recordings!$A$2:$A$1502,Speakers_in_Recordings!$B$2:$B$1502=_xlfn.SINGLE(Spkrs[Speaker]),"N/A"))</f>
        <v>06_SH_49_IH_F.50_DG_F.37_NabaaalFaour_womenstalk</v>
      </c>
      <c r="K122" t="s">
        <v>1617</v>
      </c>
    </row>
    <row r="123" spans="1:14" ht="14.45">
      <c r="A123" s="72" t="s">
        <v>1621</v>
      </c>
      <c r="B123" s="72" t="s">
        <v>1373</v>
      </c>
      <c r="C123" t="s">
        <v>1374</v>
      </c>
      <c r="D123">
        <v>1986</v>
      </c>
      <c r="E123" t="s">
        <v>1397</v>
      </c>
      <c r="H123" t="s">
        <v>1065</v>
      </c>
      <c r="J123" s="9" t="str" cm="1">
        <f t="array" ref="J123">_xlfn.TEXTJOIN(", ",TRUE(),_xlfn._xlws.FILTER(Speakers_in_Recordings!$A$2:$A$1502,Speakers_in_Recordings!$B$2:$B$1502=_xlfn.SINGLE(Spkrs[Speaker]),"N/A"))</f>
        <v>06_SH_49_IH_F.50_DG_F.37_NabaaalFaour_womenstalk</v>
      </c>
      <c r="K123" t="s">
        <v>1617</v>
      </c>
    </row>
    <row r="124" spans="1:14" ht="14.45">
      <c r="A124" s="72" t="s">
        <v>1622</v>
      </c>
      <c r="B124" s="72" t="s">
        <v>1373</v>
      </c>
      <c r="C124" t="s">
        <v>1381</v>
      </c>
      <c r="D124">
        <v>1955</v>
      </c>
      <c r="E124" t="s">
        <v>1382</v>
      </c>
      <c r="H124" t="s">
        <v>1078</v>
      </c>
      <c r="J124" s="9" t="str" cm="1">
        <f t="array" ref="J124">_xlfn.TEXTJOIN(", ",TRUE(),_xlfn._xlws.FILTER(Speakers_in_Recordings!$A$2:$A$1502,Speakers_in_Recordings!$B$2:$B$1502=_xlfn.SINGLE(Spkrs[Speaker]),"N/A"))</f>
        <v>01_WS_M.68_HS_M.31_Beirut_Mazraa_free1, 02_WS_M.68_HS_M.31_Beirut_Mazraa_free2</v>
      </c>
      <c r="K124" t="s">
        <v>1542</v>
      </c>
      <c r="N124" t="s">
        <v>1558</v>
      </c>
    </row>
    <row r="125" spans="1:14" ht="14.45">
      <c r="A125" s="72" t="s">
        <v>1623</v>
      </c>
      <c r="B125" s="72" t="s">
        <v>1373</v>
      </c>
      <c r="C125" t="s">
        <v>1381</v>
      </c>
      <c r="D125">
        <v>1992</v>
      </c>
      <c r="E125" t="s">
        <v>1376</v>
      </c>
      <c r="H125" t="s">
        <v>1078</v>
      </c>
      <c r="J125" s="9" t="str" cm="1">
        <f t="array" ref="J125">_xlfn.TEXTJOIN(", ",TRUE(),_xlfn._xlws.FILTER(Speakers_in_Recordings!$A$2:$A$1502,Speakers_in_Recordings!$B$2:$B$1502=_xlfn.SINGLE(Spkrs[Speaker]),"N/A"))</f>
        <v>01_WS_M.68_HS_M.31_Beirut_Mazraa_free1, 02_WS_M.68_HS_M.31_Beirut_Mazraa_free2</v>
      </c>
      <c r="K125" t="s">
        <v>1542</v>
      </c>
      <c r="N125" t="s">
        <v>1558</v>
      </c>
    </row>
    <row r="126" spans="1:14" ht="14.45">
      <c r="A126" s="72" t="s">
        <v>1624</v>
      </c>
      <c r="B126" s="72" t="s">
        <v>1373</v>
      </c>
      <c r="C126" t="s">
        <v>1381</v>
      </c>
      <c r="D126">
        <v>1967</v>
      </c>
      <c r="E126" t="s">
        <v>1390</v>
      </c>
      <c r="H126" t="s">
        <v>1083</v>
      </c>
      <c r="J126" s="9" t="str" cm="1">
        <f t="array" ref="J126">_xlfn.TEXTJOIN(", ",TRUE(),_xlfn._xlws.FILTER(Speakers_in_Recordings!$A$2:$A$1502,Speakers_in_Recordings!$B$2:$B$1502=_xlfn.SINGLE(Spkrs[Speaker]),"N/A"))</f>
        <v>01_SA_M.56_FA_F.42_South_Bourghliyeh_free1, 02_SA_M.56_FA_F.42_South_Bourghliyeh_free2</v>
      </c>
      <c r="K126" t="s">
        <v>1625</v>
      </c>
      <c r="N126" t="s">
        <v>1548</v>
      </c>
    </row>
    <row r="127" spans="1:14" ht="14.45">
      <c r="A127" s="72" t="s">
        <v>1626</v>
      </c>
      <c r="B127" s="72" t="s">
        <v>1373</v>
      </c>
      <c r="C127" t="s">
        <v>1374</v>
      </c>
      <c r="D127">
        <v>1981</v>
      </c>
      <c r="E127" t="s">
        <v>1397</v>
      </c>
      <c r="H127" t="s">
        <v>1083</v>
      </c>
      <c r="J127" s="9" t="str" cm="1">
        <f t="array" ref="J127">_xlfn.TEXTJOIN(", ",TRUE(),_xlfn._xlws.FILTER(Speakers_in_Recordings!$A$2:$A$1502,Speakers_in_Recordings!$B$2:$B$1502=_xlfn.SINGLE(Spkrs[Speaker]),"N/A"))</f>
        <v>01_SA_M.56_FA_F.42_South_Bourghliyeh_free1, 02_SA_M.56_FA_F.42_South_Bourghliyeh_free2</v>
      </c>
      <c r="K127" t="s">
        <v>1625</v>
      </c>
      <c r="N127" t="s">
        <v>1548</v>
      </c>
    </row>
    <row r="128" spans="1:14" ht="14.45">
      <c r="A128" s="72" t="s">
        <v>1627</v>
      </c>
      <c r="B128" s="72" t="s">
        <v>1373</v>
      </c>
      <c r="C128" t="s">
        <v>1374</v>
      </c>
      <c r="D128">
        <v>1967</v>
      </c>
      <c r="E128" t="s">
        <v>1390</v>
      </c>
      <c r="H128" t="s">
        <v>1083</v>
      </c>
      <c r="J128" s="9" t="str" cm="1">
        <f t="array" ref="J128">_xlfn.TEXTJOIN(", ",TRUE(),_xlfn._xlws.FILTER(Speakers_in_Recordings!$A$2:$A$1502,Speakers_in_Recordings!$B$2:$B$1502=_xlfn.SINGLE(Spkrs[Speaker]),"N/A"))</f>
        <v>03_NM_F.56_South_Bourghliyeh_free, 04_NM_F.56_South_Bourghliyeh_free2</v>
      </c>
      <c r="K128" t="s">
        <v>1625</v>
      </c>
    </row>
    <row r="129" spans="1:11" ht="14.45">
      <c r="A129" s="72" t="s">
        <v>1628</v>
      </c>
      <c r="B129" s="72" t="s">
        <v>1373</v>
      </c>
      <c r="C129" t="s">
        <v>1381</v>
      </c>
      <c r="D129">
        <v>1966</v>
      </c>
      <c r="E129" t="s">
        <v>1390</v>
      </c>
      <c r="H129" t="s">
        <v>1091</v>
      </c>
      <c r="I129" t="s">
        <v>1629</v>
      </c>
      <c r="J129" s="9" t="str" cm="1">
        <f t="array" ref="J129">_xlfn.TEXTJOIN(", ",TRUE(),_xlfn._xlws.FILTER(Speakers_in_Recordings!$A$2:$A$1502,Speakers_in_Recordings!$B$2:$B$1502=_xlfn.SINGLE(Spkrs[Speaker]),"N/A"))</f>
        <v>05_HK_M.57_South_Marouahine_free</v>
      </c>
      <c r="K129" t="s">
        <v>1630</v>
      </c>
    </row>
    <row r="130" spans="1:11" ht="14.45">
      <c r="A130" s="72" t="s">
        <v>1631</v>
      </c>
      <c r="B130" s="72" t="s">
        <v>1373</v>
      </c>
      <c r="C130" t="s">
        <v>1374</v>
      </c>
      <c r="D130">
        <v>1958</v>
      </c>
      <c r="E130" t="s">
        <v>1390</v>
      </c>
      <c r="H130" t="s">
        <v>1097</v>
      </c>
      <c r="J130" s="9" t="str" cm="1">
        <f t="array" ref="J130">_xlfn.TEXTJOIN(", ",TRUE(),_xlfn._xlws.FILTER(Speakers_in_Recordings!$A$2:$A$1502,Speakers_in_Recordings!$B$2:$B$1502=_xlfn.SINGLE(Spkrs[Speaker]),"N/A"))</f>
        <v>01_AM_F.65_Dhaira_free, 02_AM_F.65_Dhaira_free2, 03_AM_F.65_Dhaira_free3, 04_AM_F.65_Dhaira_questionnaire, 05_AM_F.65_NA_M.37_Dhaira_questionnarieandfree</v>
      </c>
      <c r="K130" t="s">
        <v>1632</v>
      </c>
    </row>
    <row r="131" spans="1:11" ht="14.45">
      <c r="A131" s="72" t="s">
        <v>1633</v>
      </c>
      <c r="B131" s="72" t="s">
        <v>1373</v>
      </c>
      <c r="C131" t="s">
        <v>1381</v>
      </c>
      <c r="D131">
        <v>1986</v>
      </c>
      <c r="E131" t="s">
        <v>1397</v>
      </c>
      <c r="H131" t="s">
        <v>1097</v>
      </c>
      <c r="J131" s="9" t="str" cm="1">
        <f t="array" ref="J131">_xlfn.TEXTJOIN(", ",TRUE(),_xlfn._xlws.FILTER(Speakers_in_Recordings!$A$2:$A$1502,Speakers_in_Recordings!$B$2:$B$1502=_xlfn.SINGLE(Spkrs[Speaker]),"N/A"))</f>
        <v>05_AM_F.65_NA_M.37_Dhaira_questionnarieandfree</v>
      </c>
      <c r="K131" t="s">
        <v>1632</v>
      </c>
    </row>
    <row r="132" spans="1:11" ht="14.45">
      <c r="A132" s="72" t="s">
        <v>1634</v>
      </c>
      <c r="B132" s="72" t="s">
        <v>1373</v>
      </c>
      <c r="C132" t="s">
        <v>1381</v>
      </c>
      <c r="D132">
        <v>1936</v>
      </c>
      <c r="E132" t="s">
        <v>1635</v>
      </c>
      <c r="H132" t="s">
        <v>1106</v>
      </c>
      <c r="J132" s="9" t="str" cm="1">
        <f t="array" ref="J132">_xlfn.TEXTJOIN(", ",TRUE(),_xlfn._xlws.FILTER(Speakers_in_Recordings!$A$2:$A$1502,Speakers_in_Recordings!$B$2:$B$1502=_xlfn.SINGLE(Spkrs[Speaker]),"N/A"))</f>
        <v>01_SM_M.87_Qalamun_free</v>
      </c>
      <c r="K132" t="s">
        <v>1547</v>
      </c>
    </row>
    <row r="133" spans="1:11" ht="14.45">
      <c r="A133" s="72" t="s">
        <v>1636</v>
      </c>
      <c r="B133" s="72" t="s">
        <v>1373</v>
      </c>
      <c r="C133" t="s">
        <v>1374</v>
      </c>
      <c r="D133">
        <v>1937</v>
      </c>
      <c r="E133" t="s">
        <v>1635</v>
      </c>
      <c r="H133" t="s">
        <v>1106</v>
      </c>
      <c r="J133" s="9" t="str" cm="1">
        <f t="array" ref="J133">_xlfn.TEXTJOIN(", ",TRUE(),_xlfn._xlws.FILTER(Speakers_in_Recordings!$A$2:$A$1502,Speakers_in_Recordings!$B$2:$B$1502=_xlfn.SINGLE(Spkrs[Speaker]),"N/A"))</f>
        <v>02_SG_F.86_Qalamun_free, 03_SG_F.86_Qalamun_free2, 04_SG_F.86_Qalamun_free3</v>
      </c>
      <c r="K133" t="s">
        <v>1547</v>
      </c>
    </row>
    <row r="134" spans="1:11" ht="14.45">
      <c r="A134" s="72" t="s">
        <v>1637</v>
      </c>
      <c r="B134" s="72" t="s">
        <v>1373</v>
      </c>
      <c r="C134" t="s">
        <v>1374</v>
      </c>
      <c r="D134">
        <v>1980</v>
      </c>
      <c r="E134" t="s">
        <v>1397</v>
      </c>
      <c r="H134" t="s">
        <v>1106</v>
      </c>
      <c r="I134" t="s">
        <v>1638</v>
      </c>
      <c r="J134" s="9" t="str" cm="1">
        <f t="array" ref="J134">_xlfn.TEXTJOIN(", ",TRUE(),_xlfn._xlws.FILTER(Speakers_in_Recordings!$A$2:$A$1502,Speakers_in_Recordings!$B$2:$B$1502=_xlfn.SINGLE(Spkrs[Speaker]),"N/A"))</f>
        <v>03_SG_F.86_Qalamun_free2, 04_SG_F.86_Qalamun_free3</v>
      </c>
      <c r="K134" t="s">
        <v>1547</v>
      </c>
    </row>
    <row r="135" spans="1:11" ht="14.45">
      <c r="A135" s="72"/>
      <c r="B135" s="72"/>
      <c r="J135" s="9" t="str" cm="1">
        <f t="array" ref="J135">_xlfn.TEXTJOIN(", ",TRUE(),_xlfn._xlws.FILTER(Speakers_in_Recordings!$A$2:$A$1502,Speakers_in_Recordings!$B$2:$B$1502=_xlfn.SINGLE(Spkrs[Speaker]),"N/A"))</f>
        <v/>
      </c>
    </row>
    <row r="136" spans="1:11" ht="14.45">
      <c r="A136" t="s">
        <v>1639</v>
      </c>
      <c r="B136" s="183"/>
      <c r="C136" t="s">
        <v>1374</v>
      </c>
      <c r="D136" s="183" t="s">
        <v>1520</v>
      </c>
      <c r="E136" s="183"/>
      <c r="H136" t="s">
        <v>1191</v>
      </c>
      <c r="I136" t="s">
        <v>1640</v>
      </c>
      <c r="J136" s="9" t="str" cm="1">
        <f t="array" ref="J136">_xlfn.TEXTJOIN(", ",TRUE(),_xlfn._xlws.FILTER(Speakers_in_Recordings!$A$2:$A$1502,Speakers_in_Recordings!$B$2:$B$1502=_xlfn.SINGLE(Spkrs[Speaker]),"N/A"))</f>
        <v>MOR_Shawiya_Beni Mesnawi_agriculture and marriages in the past_22, MOR_Shawiya_Beni_Mesnawi_2_feasts_2022</v>
      </c>
    </row>
    <row r="137" spans="1:11" ht="14.45">
      <c r="A137" t="s">
        <v>1641</v>
      </c>
      <c r="B137" s="183"/>
      <c r="C137" t="s">
        <v>1374</v>
      </c>
      <c r="D137" s="183" t="s">
        <v>1528</v>
      </c>
      <c r="E137" s="183"/>
      <c r="H137" t="s">
        <v>1191</v>
      </c>
      <c r="J137" s="9" t="str" cm="1">
        <f t="array" ref="J137">_xlfn.TEXTJOIN(", ",TRUE(),_xlfn._xlws.FILTER(Speakers_in_Recordings!$A$2:$A$1502,Speakers_in_Recordings!$B$2:$B$1502=_xlfn.SINGLE(Spkrs[Speaker]),"N/A"))</f>
        <v>MOR_Shawiya_Beni_Mesnawi_3_interview_with_grandmother_2022, MOR_Shawiya_Beni_Mesnawi_agriculture_and_marriages_in_the_past_2022</v>
      </c>
    </row>
    <row r="138" spans="1:11" ht="14.45">
      <c r="A138" t="s">
        <v>1642</v>
      </c>
      <c r="B138" s="183"/>
      <c r="C138" t="s">
        <v>1381</v>
      </c>
      <c r="D138" s="183">
        <v>1980</v>
      </c>
      <c r="E138" s="183"/>
      <c r="H138" t="s">
        <v>1191</v>
      </c>
      <c r="J138" s="9" t="str" cm="1">
        <f t="array" ref="J138">_xlfn.TEXTJOIN(", ",TRUE(),_xlfn._xlws.FILTER(Speakers_in_Recordings!$A$2:$A$1502,Speakers_in_Recordings!$B$2:$B$1502=_xlfn.SINGLE(Spkrs[Speaker]),"N/A"))</f>
        <v>MOR_Zaer_Ain_Aouda_1_life_and_agriculture_in_the_region_2022</v>
      </c>
    </row>
    <row r="139" spans="1:11" ht="14.45">
      <c r="J139" s="9" t="str" cm="1">
        <f t="array" ref="J139">_xlfn.TEXTJOIN(", ",TRUE(),_xlfn._xlws.FILTER(Speakers_in_Recordings!$A$2:$A$1502,Speakers_in_Recordings!$B$2:$B$1502=_xlfn.SINGLE(Spkrs[Speaker]),"N/A"))</f>
        <v/>
      </c>
    </row>
    <row r="140" spans="1:11" ht="14.45">
      <c r="A140" t="s">
        <v>1643</v>
      </c>
      <c r="B140" t="s">
        <v>1373</v>
      </c>
      <c r="C140" t="s">
        <v>1374</v>
      </c>
      <c r="D140" s="183">
        <v>1976</v>
      </c>
      <c r="E140" t="s">
        <v>1384</v>
      </c>
      <c r="H140" t="s">
        <v>1644</v>
      </c>
      <c r="J140" s="9" t="str" cm="1">
        <f t="array" ref="J140">_xlfn.TEXTJOIN(", ",TRUE(),_xlfn._xlws.FILTER(Speakers_in_Recordings!$A$2:$A$1502,Speakers_in_Recordings!$B$2:$B$1502=_xlfn.SINGLE(Spkrs[Speaker]),"N/A"))</f>
        <v>02_JOR_Bani_Saxar_Rujm_Ash_Shami_family_wedding_food_recipes, 09_JOR_Bani_Saxar_Questionnaire_Khader_Part_1, 10_JOR_Bani_Saxar_Questionnaire_Khader_Part_2, 11_JOR_Bani_Saxar_Questionnaire_Khader_Part_3, 12_JOR_Bani_Saxar_Questionnaire_Khader_Part_4, 13_JOR_Bani_Saxar_Questionnaire_Khader_Part_5, 16_JOR_Bani_Saxar_Rujm_Ash_Shami_traditions_wedding_clothes_song</v>
      </c>
      <c r="K140" t="s">
        <v>1645</v>
      </c>
    </row>
    <row r="141" spans="1:11" ht="14.45">
      <c r="A141" t="s">
        <v>1646</v>
      </c>
      <c r="B141" t="s">
        <v>1373</v>
      </c>
      <c r="C141" t="s">
        <v>1381</v>
      </c>
      <c r="D141" s="183">
        <v>1996</v>
      </c>
      <c r="E141" t="s">
        <v>1376</v>
      </c>
      <c r="H141" t="s">
        <v>1644</v>
      </c>
      <c r="I141" t="s">
        <v>1647</v>
      </c>
      <c r="J141" s="9" t="str" cm="1">
        <f t="array" ref="J141">_xlfn.TEXTJOIN(", ",TRUE(),_xlfn._xlws.FILTER(Speakers_in_Recordings!$A$2:$A$1502,Speakers_in_Recordings!$B$2:$B$1502=_xlfn.SINGLE(Spkrs[Speaker]),"N/A"))</f>
        <v>02_JOR_Bani_Saxar_Rujm_Ash_Shami_family_wedding_food_recipes, 04_JOR_Bani_Saxar_Personal_Stories_StoryRelative_food_recipes, 09_JOR_Bani_Saxar_Questionnaire_Khader_Part_1, 10_JOR_Bani_Saxar_Questionnaire_Khader_Part_2, 11_JOR_Bani_Saxar_Questionnaire_Khader_Part_3, 12_JOR_Bani_Saxar_Questionnaire_Khader_Part_4, 13_JOR_Bani_Saxar_Questionnaire_Khader_Part_5, 16_JOR_Bani_Saxar_Rujm_Ash_Shami_traditions_wedding_clothes_song</v>
      </c>
      <c r="K141" t="s">
        <v>1645</v>
      </c>
    </row>
    <row r="142" spans="1:11" ht="14.45">
      <c r="A142" t="s">
        <v>1648</v>
      </c>
      <c r="B142" t="s">
        <v>1373</v>
      </c>
      <c r="C142" t="s">
        <v>1381</v>
      </c>
      <c r="D142" s="183"/>
      <c r="E142" t="s">
        <v>1397</v>
      </c>
      <c r="H142" t="s">
        <v>1644</v>
      </c>
      <c r="J142" s="9" t="str" cm="1">
        <f t="array" ref="J142">_xlfn.TEXTJOIN(", ",TRUE(),_xlfn._xlws.FILTER(Speakers_in_Recordings!$A$2:$A$1502,Speakers_in_Recordings!$B$2:$B$1502=_xlfn.SINGLE(Spkrs[Speaker]),"N/A"))</f>
        <v>01_JOR_Bani_Saxar_Qasr_Amra_Tribal_Traditions, 18_JOR_Bani_Saxar_Qasr_Amra_Stories_Jokes</v>
      </c>
      <c r="K142" t="s">
        <v>1645</v>
      </c>
    </row>
    <row r="143" spans="1:11" ht="14.45">
      <c r="A143" t="s">
        <v>1649</v>
      </c>
      <c r="B143" t="s">
        <v>1373</v>
      </c>
      <c r="C143" t="s">
        <v>1374</v>
      </c>
      <c r="D143" s="183"/>
      <c r="E143" t="s">
        <v>1445</v>
      </c>
      <c r="H143" t="s">
        <v>1644</v>
      </c>
      <c r="J143" s="9" t="str" cm="1">
        <f t="array" ref="J143">_xlfn.TEXTJOIN(", ",TRUE(),_xlfn._xlws.FILTER(Speakers_in_Recordings!$A$2:$A$1502,Speakers_in_Recordings!$B$2:$B$1502=_xlfn.SINGLE(Spkrs[Speaker]),"N/A"))</f>
        <v>03_JOR_Bani_Saxar_Story_Tribal_History</v>
      </c>
      <c r="K143" t="s">
        <v>1645</v>
      </c>
    </row>
    <row r="144" spans="1:11" ht="14.45">
      <c r="A144" t="s">
        <v>1650</v>
      </c>
      <c r="B144" t="s">
        <v>1373</v>
      </c>
      <c r="C144" t="s">
        <v>1381</v>
      </c>
      <c r="D144" s="183">
        <v>1989</v>
      </c>
      <c r="E144" t="s">
        <v>1397</v>
      </c>
      <c r="H144" t="s">
        <v>1644</v>
      </c>
      <c r="I144" t="s">
        <v>1647</v>
      </c>
      <c r="J144" s="9" t="str" cm="1">
        <f t="array" ref="J144">_xlfn.TEXTJOIN(", ",TRUE(),_xlfn._xlws.FILTER(Speakers_in_Recordings!$A$2:$A$1502,Speakers_in_Recordings!$B$2:$B$1502=_xlfn.SINGLE(Spkrs[Speaker]),"N/A"))</f>
        <v>01_JOR_Bani_Saxar_Qasr_Amra_Tribal_Traditions</v>
      </c>
      <c r="K144" t="s">
        <v>1645</v>
      </c>
    </row>
    <row r="145" spans="1:11" ht="14.45">
      <c r="A145" t="s">
        <v>1651</v>
      </c>
      <c r="B145" t="s">
        <v>1373</v>
      </c>
      <c r="C145" t="s">
        <v>1381</v>
      </c>
      <c r="D145" s="183"/>
      <c r="E145" t="s">
        <v>1384</v>
      </c>
      <c r="H145" t="s">
        <v>1644</v>
      </c>
      <c r="J145" s="9" t="str" cm="1">
        <f t="array" ref="J145">_xlfn.TEXTJOIN(", ",TRUE(),_xlfn._xlws.FILTER(Speakers_in_Recordings!$A$2:$A$1502,Speakers_in_Recordings!$B$2:$B$1502=_xlfn.SINGLE(Spkrs[Speaker]),"N/A"))</f>
        <v>03_JOR_Bani_Saxar_Story_Tribal_History</v>
      </c>
      <c r="K145" t="s">
        <v>1645</v>
      </c>
    </row>
    <row r="146" spans="1:11" ht="14.45">
      <c r="A146" t="s">
        <v>1652</v>
      </c>
      <c r="B146" t="s">
        <v>1373</v>
      </c>
      <c r="C146" t="s">
        <v>1374</v>
      </c>
      <c r="D146" s="183">
        <v>1961</v>
      </c>
      <c r="E146" t="s">
        <v>1390</v>
      </c>
      <c r="H146" t="s">
        <v>1644</v>
      </c>
      <c r="I146" t="s">
        <v>1653</v>
      </c>
      <c r="J146" s="9" t="str" cm="1">
        <f t="array" ref="J146">_xlfn.TEXTJOIN(", ",TRUE(),_xlfn._xlws.FILTER(Speakers_in_Recordings!$A$2:$A$1502,Speakers_in_Recordings!$B$2:$B$1502=_xlfn.SINGLE(Spkrs[Speaker]),"N/A"))</f>
        <v>04_JOR_Bani_Saxar_Personal_Stories_StoryRelative_food_recipes, 16_JOR_Bani_Saxar_Rujm_Ash_Shami_traditions_wedding_clothes_song</v>
      </c>
      <c r="K146" t="s">
        <v>1645</v>
      </c>
    </row>
    <row r="147" spans="1:11" ht="14.45">
      <c r="A147" t="s">
        <v>1654</v>
      </c>
      <c r="B147" t="s">
        <v>1373</v>
      </c>
      <c r="C147" t="s">
        <v>1381</v>
      </c>
      <c r="D147" s="183"/>
      <c r="E147" t="s">
        <v>1445</v>
      </c>
      <c r="H147" t="s">
        <v>1644</v>
      </c>
      <c r="I147" t="s">
        <v>1655</v>
      </c>
      <c r="J147" s="9" t="str" cm="1">
        <f t="array" ref="J147">_xlfn.TEXTJOIN(", ",TRUE(),_xlfn._xlws.FILTER(Speakers_in_Recordings!$A$2:$A$1502,Speakers_in_Recordings!$B$2:$B$1502=_xlfn.SINGLE(Spkrs[Speaker]),"N/A"))</f>
        <v>05_JOR_Bani_Saxar_Tribal_History_Wars_Camels</v>
      </c>
      <c r="K147" t="s">
        <v>1645</v>
      </c>
    </row>
    <row r="148" spans="1:11" ht="14.45">
      <c r="A148" t="s">
        <v>1656</v>
      </c>
      <c r="B148" t="s">
        <v>1373</v>
      </c>
      <c r="C148" t="s">
        <v>1381</v>
      </c>
      <c r="D148" s="183"/>
      <c r="E148" t="s">
        <v>1397</v>
      </c>
      <c r="H148" t="s">
        <v>1644</v>
      </c>
      <c r="I148" t="s">
        <v>1647</v>
      </c>
      <c r="J148" s="9" t="str" cm="1">
        <f t="array" ref="J148">_xlfn.TEXTJOIN(", ",TRUE(),_xlfn._xlws.FILTER(Speakers_in_Recordings!$A$2:$A$1502,Speakers_in_Recordings!$B$2:$B$1502=_xlfn.SINGLE(Spkrs[Speaker]),"N/A"))</f>
        <v>05_JOR_Bani_Saxar_Tribal_History_Wars_Camels, 06_JOR_Bani_Saxar_Questionnaire_Hgesh_Part_1, 07_JOR_Bani_Saxar_Questionnaire_Hgesh_Part_2, 08_JOR_Bani_Saxar_Questionnaire_Hgesh_Part_3</v>
      </c>
      <c r="K148" t="s">
        <v>1645</v>
      </c>
    </row>
    <row r="149" spans="1:11" ht="14.45">
      <c r="A149" t="s">
        <v>1657</v>
      </c>
      <c r="B149" t="s">
        <v>1373</v>
      </c>
      <c r="C149" t="s">
        <v>1381</v>
      </c>
      <c r="D149" s="183"/>
      <c r="E149" t="s">
        <v>1384</v>
      </c>
      <c r="H149" t="s">
        <v>1644</v>
      </c>
      <c r="J149" s="9" t="str" cm="1">
        <f t="array" ref="J149">_xlfn.TEXTJOIN(", ",TRUE(),_xlfn._xlws.FILTER(Speakers_in_Recordings!$A$2:$A$1502,Speakers_in_Recordings!$B$2:$B$1502=_xlfn.SINGLE(Spkrs[Speaker]),"N/A"))</f>
        <v>06_JOR_Bani_Saxar_Questionnaire_Hgesh_Part_1, 07_JOR_Bani_Saxar_Questionnaire_Hgesh_Part_2, 08_JOR_Bani_Saxar_Questionnaire_Hgesh_Part_3</v>
      </c>
      <c r="K149" t="s">
        <v>1645</v>
      </c>
    </row>
    <row r="150" spans="1:11" ht="14.45">
      <c r="A150" t="s">
        <v>1658</v>
      </c>
      <c r="B150" t="s">
        <v>1373</v>
      </c>
      <c r="C150" t="s">
        <v>1381</v>
      </c>
      <c r="D150" s="183"/>
      <c r="E150" t="s">
        <v>1397</v>
      </c>
      <c r="H150" t="s">
        <v>1644</v>
      </c>
      <c r="J150" s="9" t="str" cm="1">
        <f t="array" ref="J150">_xlfn.TEXTJOIN(", ",TRUE(),_xlfn._xlws.FILTER(Speakers_in_Recordings!$A$2:$A$1502,Speakers_in_Recordings!$B$2:$B$1502=_xlfn.SINGLE(Spkrs[Speaker]),"N/A"))</f>
        <v>06_JOR_Bani_Saxar_Questionnaire_Hgesh_Part_1, 07_JOR_Bani_Saxar_Questionnaire_Hgesh_Part_2, 08_JOR_Bani_Saxar_Questionnaire_Hgesh_Part_3</v>
      </c>
      <c r="K150" t="s">
        <v>1645</v>
      </c>
    </row>
    <row r="151" spans="1:11">
      <c r="A151" s="87" t="s">
        <v>1659</v>
      </c>
      <c r="B151" t="s">
        <v>1373</v>
      </c>
      <c r="C151" s="89" t="s">
        <v>1374</v>
      </c>
      <c r="D151" s="187">
        <v>1992</v>
      </c>
      <c r="E151" s="106" t="s">
        <v>1376</v>
      </c>
      <c r="F151" s="106"/>
      <c r="H151" s="89" t="s">
        <v>1644</v>
      </c>
      <c r="I151" s="89"/>
      <c r="J151" s="9" t="str" cm="1">
        <f t="array" ref="J151">_xlfn.TEXTJOIN(", ",TRUE(),_xlfn._xlws.FILTER(Speakers_in_Recordings!$A$2:$A$1502,Speakers_in_Recordings!$B$2:$B$1502=_xlfn.SINGLE(Spkrs[Speaker]),"N/A"))</f>
        <v>14_JOR_Bani_Saxar_Nitl_Expressions_Zeben, 15_JOR_Bani_Saxar_Nitl_Expressions_Verbs_Grammar_Zeben</v>
      </c>
      <c r="K151" t="s">
        <v>1645</v>
      </c>
    </row>
    <row r="152" spans="1:11">
      <c r="A152" s="88" t="s">
        <v>1660</v>
      </c>
      <c r="B152" t="s">
        <v>1373</v>
      </c>
      <c r="C152" t="s">
        <v>1374</v>
      </c>
      <c r="D152" s="187"/>
      <c r="E152" s="107" t="s">
        <v>1376</v>
      </c>
      <c r="F152" s="107"/>
      <c r="H152" s="90" t="s">
        <v>1644</v>
      </c>
      <c r="I152" s="90"/>
      <c r="J152" s="9" t="str" cm="1">
        <f t="array" ref="J152">_xlfn.TEXTJOIN(", ",TRUE(),_xlfn._xlws.FILTER(Speakers_in_Recordings!$A$2:$A$1502,Speakers_in_Recordings!$B$2:$B$1502=_xlfn.SINGLE(Spkrs[Speaker]),"N/A"))</f>
        <v>14_JOR_Bani_Saxar_Nitl_Expressions_Zeben, 15_JOR_Bani_Saxar_Nitl_Expressions_Verbs_Grammar_Zeben</v>
      </c>
      <c r="K152" t="s">
        <v>1645</v>
      </c>
    </row>
    <row r="153" spans="1:11">
      <c r="A153" s="88" t="s">
        <v>1661</v>
      </c>
      <c r="B153" t="s">
        <v>1373</v>
      </c>
      <c r="C153" t="s">
        <v>1374</v>
      </c>
      <c r="D153" s="187">
        <v>2006</v>
      </c>
      <c r="E153" s="107" t="s">
        <v>1400</v>
      </c>
      <c r="F153" s="107"/>
      <c r="H153" s="90" t="s">
        <v>1644</v>
      </c>
      <c r="I153" s="90"/>
      <c r="J153" s="9" t="str" cm="1">
        <f t="array" ref="J153">_xlfn.TEXTJOIN(", ",TRUE(),_xlfn._xlws.FILTER(Speakers_in_Recordings!$A$2:$A$1502,Speakers_in_Recordings!$B$2:$B$1502=_xlfn.SINGLE(Spkrs[Speaker]),"N/A"))</f>
        <v>15_JOR_Bani_Saxar_Nitl_Expressions_Verbs_Grammar_Zeben</v>
      </c>
      <c r="K153" t="s">
        <v>1645</v>
      </c>
    </row>
    <row r="154" spans="1:11">
      <c r="A154" s="87" t="s">
        <v>1662</v>
      </c>
      <c r="B154" t="s">
        <v>1373</v>
      </c>
      <c r="C154" t="s">
        <v>1381</v>
      </c>
      <c r="D154" s="187"/>
      <c r="E154" s="106" t="s">
        <v>1376</v>
      </c>
      <c r="F154" s="106"/>
      <c r="H154" s="89" t="s">
        <v>1644</v>
      </c>
      <c r="I154" s="89"/>
      <c r="J154" s="9" t="str" cm="1">
        <f t="array" ref="J154">_xlfn.TEXTJOIN(", ",TRUE(),_xlfn._xlws.FILTER(Speakers_in_Recordings!$A$2:$A$1502,Speakers_in_Recordings!$B$2:$B$1502=_xlfn.SINGLE(Spkrs[Speaker]),"N/A"))</f>
        <v>17_JOR_Bani_Saxar_Zaytunah_University_Tribal_Stories_TwagaStory_DahameshStory_Poems</v>
      </c>
      <c r="K154" t="s">
        <v>1645</v>
      </c>
    </row>
    <row r="155" spans="1:11">
      <c r="A155" s="88" t="s">
        <v>1663</v>
      </c>
      <c r="B155" t="s">
        <v>1373</v>
      </c>
      <c r="C155" t="s">
        <v>1381</v>
      </c>
      <c r="D155" s="187"/>
      <c r="E155" s="107" t="s">
        <v>1397</v>
      </c>
      <c r="F155" s="107"/>
      <c r="H155" s="90" t="s">
        <v>1644</v>
      </c>
      <c r="I155" s="90"/>
      <c r="J155" s="9" t="str" cm="1">
        <f t="array" ref="J155">_xlfn.TEXTJOIN(", ",TRUE(),_xlfn._xlws.FILTER(Speakers_in_Recordings!$A$2:$A$1502,Speakers_in_Recordings!$B$2:$B$1502=_xlfn.SINGLE(Spkrs[Speaker]),"N/A"))</f>
        <v>17_JOR_Bani_Saxar_Zaytunah_University_Tribal_Stories_TwagaStory_DahameshStory_Poems</v>
      </c>
      <c r="K155" t="s">
        <v>1645</v>
      </c>
    </row>
    <row r="156" spans="1:11">
      <c r="A156" s="87" t="s">
        <v>1664</v>
      </c>
      <c r="B156" t="s">
        <v>1373</v>
      </c>
      <c r="C156" t="s">
        <v>1381</v>
      </c>
      <c r="D156" s="187"/>
      <c r="E156" s="106" t="s">
        <v>1390</v>
      </c>
      <c r="F156" s="106"/>
      <c r="H156" s="89" t="s">
        <v>1644</v>
      </c>
      <c r="I156" s="89"/>
      <c r="J156" s="9" t="str" cm="1">
        <f t="array" ref="J156">_xlfn.TEXTJOIN(", ",TRUE(),_xlfn._xlws.FILTER(Speakers_in_Recordings!$A$2:$A$1502,Speakers_in_Recordings!$B$2:$B$1502=_xlfn.SINGLE(Spkrs[Speaker]),"N/A"))</f>
        <v>09_JOR_Bani_Saxar_Questionnaire_Khader_Part_1, 10_JOR_Bani_Saxar_Questionnaire_Khader_Part_2, 11_JOR_Bani_Saxar_Questionnaire_Khader_Part_3, 12_JOR_Bani_Saxar_Questionnaire_Khader_Part_4, 13_JOR_Bani_Saxar_Questionnaire_Khader_Part_5</v>
      </c>
      <c r="K156" t="s">
        <v>1645</v>
      </c>
    </row>
    <row r="157" spans="1:11">
      <c r="A157" s="88" t="s">
        <v>1665</v>
      </c>
      <c r="B157" t="s">
        <v>1373</v>
      </c>
      <c r="C157" t="s">
        <v>1374</v>
      </c>
      <c r="D157" s="187"/>
      <c r="E157" s="107" t="s">
        <v>1384</v>
      </c>
      <c r="F157" s="107"/>
      <c r="H157" s="90" t="s">
        <v>1644</v>
      </c>
      <c r="I157" s="90"/>
      <c r="J157" s="9" t="str" cm="1">
        <f t="array" ref="J157">_xlfn.TEXTJOIN(", ",TRUE(),_xlfn._xlws.FILTER(Speakers_in_Recordings!$A$2:$A$1502,Speakers_in_Recordings!$B$2:$B$1502=_xlfn.SINGLE(Spkrs[Speaker]),"N/A"))</f>
        <v>19_JOR_Bani_Saxar_Dleyla_Recepies_Stories_Group_of_Women</v>
      </c>
      <c r="K157" t="s">
        <v>1645</v>
      </c>
    </row>
    <row r="158" spans="1:11">
      <c r="A158" s="87" t="s">
        <v>1666</v>
      </c>
      <c r="B158" t="s">
        <v>1373</v>
      </c>
      <c r="C158" t="s">
        <v>1374</v>
      </c>
      <c r="D158" s="187"/>
      <c r="E158" s="106" t="s">
        <v>1384</v>
      </c>
      <c r="F158" s="106"/>
      <c r="H158" s="89" t="s">
        <v>1644</v>
      </c>
      <c r="I158" s="89"/>
      <c r="J158" s="9" t="str" cm="1">
        <f t="array" ref="J158">_xlfn.TEXTJOIN(", ",TRUE(),_xlfn._xlws.FILTER(Speakers_in_Recordings!$A$2:$A$1502,Speakers_in_Recordings!$B$2:$B$1502=_xlfn.SINGLE(Spkrs[Speaker]),"N/A"))</f>
        <v>19_JOR_Bani_Saxar_Dleyla_Recepies_Stories_Group_of_Women</v>
      </c>
      <c r="K158" t="s">
        <v>1645</v>
      </c>
    </row>
    <row r="159" spans="1:11">
      <c r="A159" s="87" t="s">
        <v>1667</v>
      </c>
      <c r="B159" t="s">
        <v>1373</v>
      </c>
      <c r="C159" t="s">
        <v>1374</v>
      </c>
      <c r="D159" s="183"/>
      <c r="E159" s="106" t="s">
        <v>1445</v>
      </c>
      <c r="F159" s="106"/>
      <c r="H159" s="89" t="s">
        <v>1644</v>
      </c>
      <c r="I159" s="89"/>
      <c r="J159" s="9" t="str" cm="1">
        <f t="array" ref="J159">_xlfn.TEXTJOIN(", ",TRUE(),_xlfn._xlws.FILTER(Speakers_in_Recordings!$A$2:$A$1502,Speakers_in_Recordings!$B$2:$B$1502=_xlfn.SINGLE(Spkrs[Speaker]),"N/A"))</f>
        <v>19_JOR_Bani_Saxar_Dleyla_Recepies_Stories_Group_of_Women</v>
      </c>
      <c r="K159" t="s">
        <v>1645</v>
      </c>
    </row>
    <row r="160" spans="1:11">
      <c r="A160" s="88" t="s">
        <v>1668</v>
      </c>
      <c r="B160" t="s">
        <v>1373</v>
      </c>
      <c r="C160" t="s">
        <v>1374</v>
      </c>
      <c r="D160" s="187"/>
      <c r="E160" s="107" t="s">
        <v>1445</v>
      </c>
      <c r="F160" s="107"/>
      <c r="H160" s="90" t="s">
        <v>1644</v>
      </c>
      <c r="I160" s="90"/>
      <c r="J160" s="9" t="str" cm="1">
        <f t="array" ref="J160">_xlfn.TEXTJOIN(", ",TRUE(),_xlfn._xlws.FILTER(Speakers_in_Recordings!$A$2:$A$1502,Speakers_in_Recordings!$B$2:$B$1502=_xlfn.SINGLE(Spkrs[Speaker]),"N/A"))</f>
        <v>20_JOR_Bani_Saxar_ThreeZebenWomen</v>
      </c>
      <c r="K160" t="s">
        <v>1645</v>
      </c>
    </row>
    <row r="161" spans="1:11">
      <c r="A161" s="87" t="s">
        <v>1669</v>
      </c>
      <c r="B161" t="s">
        <v>1373</v>
      </c>
      <c r="C161" t="s">
        <v>1374</v>
      </c>
      <c r="D161" s="187"/>
      <c r="E161" s="106" t="s">
        <v>1445</v>
      </c>
      <c r="F161" s="106"/>
      <c r="H161" s="89" t="s">
        <v>1644</v>
      </c>
      <c r="I161" s="89"/>
      <c r="J161" s="9" t="str" cm="1">
        <f t="array" ref="J161">_xlfn.TEXTJOIN(", ",TRUE(),_xlfn._xlws.FILTER(Speakers_in_Recordings!$A$2:$A$1502,Speakers_in_Recordings!$B$2:$B$1502=_xlfn.SINGLE(Spkrs[Speaker]),"N/A"))</f>
        <v>20_JOR_Bani_Saxar_ThreeZebenWomen</v>
      </c>
      <c r="K161" t="s">
        <v>1645</v>
      </c>
    </row>
    <row r="162" spans="1:11">
      <c r="A162" s="88" t="s">
        <v>1670</v>
      </c>
      <c r="B162" t="s">
        <v>1373</v>
      </c>
      <c r="C162" t="s">
        <v>1374</v>
      </c>
      <c r="D162" s="187"/>
      <c r="E162" s="107" t="s">
        <v>1635</v>
      </c>
      <c r="F162" s="107"/>
      <c r="H162" s="90" t="s">
        <v>1644</v>
      </c>
      <c r="I162" s="90"/>
      <c r="J162" s="9" t="str" cm="1">
        <f t="array" ref="J162">_xlfn.TEXTJOIN(", ",TRUE(),_xlfn._xlws.FILTER(Speakers_in_Recordings!$A$2:$A$1502,Speakers_in_Recordings!$B$2:$B$1502=_xlfn.SINGLE(Spkrs[Speaker]),"N/A"))</f>
        <v>20_JOR_Bani_Saxar_ThreeZebenWomen</v>
      </c>
      <c r="K162" t="s">
        <v>1645</v>
      </c>
    </row>
    <row r="163" spans="1:11">
      <c r="A163" s="87" t="s">
        <v>1671</v>
      </c>
      <c r="B163" t="s">
        <v>1373</v>
      </c>
      <c r="C163" t="s">
        <v>1381</v>
      </c>
      <c r="D163" s="187"/>
      <c r="E163" s="106" t="s">
        <v>1376</v>
      </c>
      <c r="F163" s="106"/>
      <c r="H163" s="89" t="s">
        <v>1644</v>
      </c>
      <c r="I163" s="89" t="s">
        <v>1647</v>
      </c>
      <c r="J163" s="9" t="str" cm="1">
        <f t="array" ref="J163">_xlfn.TEXTJOIN(", ",TRUE(),_xlfn._xlws.FILTER(Speakers_in_Recordings!$A$2:$A$1502,Speakers_in_Recordings!$B$2:$B$1502=_xlfn.SINGLE(Spkrs[Speaker]),"N/A"))</f>
        <v>20_JOR_Bani_Saxar_ThreeZebenWomen</v>
      </c>
      <c r="K163" t="s">
        <v>1645</v>
      </c>
    </row>
    <row r="164" spans="1:11">
      <c r="A164" s="106" t="s">
        <v>1672</v>
      </c>
      <c r="B164" t="s">
        <v>1373</v>
      </c>
      <c r="C164" t="s">
        <v>1374</v>
      </c>
      <c r="D164" s="187"/>
      <c r="E164" s="106" t="s">
        <v>1376</v>
      </c>
      <c r="F164" s="106"/>
      <c r="H164" s="106" t="s">
        <v>1644</v>
      </c>
      <c r="I164" s="106" t="s">
        <v>1647</v>
      </c>
      <c r="J164" s="9" t="str" cm="1">
        <f t="array" ref="J164">_xlfn.TEXTJOIN(", ",TRUE(),_xlfn._xlws.FILTER(Speakers_in_Recordings!$A$2:$A$1502,Speakers_in_Recordings!$B$2:$B$1502=_xlfn.SINGLE(Spkrs[Speaker]),"N/A"))</f>
        <v>22_JOR_Bani_Saxar_Msetba_Old_Sisters</v>
      </c>
      <c r="K164" t="s">
        <v>1645</v>
      </c>
    </row>
    <row r="165" spans="1:11">
      <c r="A165" s="106" t="s">
        <v>1673</v>
      </c>
      <c r="B165" t="s">
        <v>1373</v>
      </c>
      <c r="C165" t="s">
        <v>1374</v>
      </c>
      <c r="D165" s="188"/>
      <c r="E165" s="106" t="s">
        <v>1445</v>
      </c>
      <c r="F165" s="106"/>
      <c r="H165" s="106" t="s">
        <v>1644</v>
      </c>
      <c r="I165" s="106"/>
      <c r="J165" s="9" t="str" cm="1">
        <f t="array" ref="J165">_xlfn.TEXTJOIN(", ",TRUE(),_xlfn._xlws.FILTER(Speakers_in_Recordings!$A$2:$A$1502,Speakers_in_Recordings!$B$2:$B$1502=_xlfn.SINGLE(Spkrs[Speaker]),"N/A"))</f>
        <v>22_JOR_Bani_Saxar_Msetba_Old_Sisters</v>
      </c>
      <c r="K165" t="s">
        <v>1645</v>
      </c>
    </row>
    <row r="166" spans="1:11">
      <c r="A166" s="106" t="s">
        <v>1674</v>
      </c>
      <c r="B166" t="s">
        <v>1373</v>
      </c>
      <c r="C166" t="s">
        <v>1374</v>
      </c>
      <c r="D166" s="188"/>
      <c r="E166" s="106" t="s">
        <v>1382</v>
      </c>
      <c r="F166" s="106"/>
      <c r="H166" s="106" t="s">
        <v>1644</v>
      </c>
      <c r="I166" s="106"/>
      <c r="J166" s="9" t="str" cm="1">
        <f t="array" ref="J166">_xlfn.TEXTJOIN(", ",TRUE(),_xlfn._xlws.FILTER(Speakers_in_Recordings!$A$2:$A$1502,Speakers_in_Recordings!$B$2:$B$1502=_xlfn.SINGLE(Spkrs[Speaker]),"N/A"))</f>
        <v>22_JOR_Bani_Saxar_Msetba_Old_Sisters</v>
      </c>
      <c r="K166" t="s">
        <v>1645</v>
      </c>
    </row>
    <row r="167" spans="1:11">
      <c r="A167" s="106" t="s">
        <v>1675</v>
      </c>
      <c r="B167" t="s">
        <v>1373</v>
      </c>
      <c r="C167" t="s">
        <v>1381</v>
      </c>
      <c r="D167" s="188"/>
      <c r="E167" s="106" t="s">
        <v>1676</v>
      </c>
      <c r="F167" s="106"/>
      <c r="H167" s="106" t="s">
        <v>1644</v>
      </c>
      <c r="I167" s="106"/>
      <c r="J167" s="9" t="str" cm="1">
        <f t="array" ref="J167">_xlfn.TEXTJOIN(", ",TRUE(),_xlfn._xlws.FILTER(Speakers_in_Recordings!$A$2:$A$1502,Speakers_in_Recordings!$B$2:$B$1502=_xlfn.SINGLE(Spkrs[Speaker]),"N/A"))</f>
        <v>21_JOR_Bani_Saxar_Irbid</v>
      </c>
      <c r="K167" t="s">
        <v>1645</v>
      </c>
    </row>
    <row r="168" spans="1:11">
      <c r="A168" s="106" t="s">
        <v>1284</v>
      </c>
      <c r="B168" t="s">
        <v>1373</v>
      </c>
      <c r="C168" t="s">
        <v>1374</v>
      </c>
      <c r="D168" s="188">
        <v>1993</v>
      </c>
      <c r="E168" s="106" t="s">
        <v>1376</v>
      </c>
      <c r="F168" s="106"/>
      <c r="H168" s="106" t="s">
        <v>1677</v>
      </c>
      <c r="I168" s="89" t="s">
        <v>1678</v>
      </c>
      <c r="J168" s="9" t="str" cm="1">
        <f t="array" ref="J168">_xlfn.TEXTJOIN(", ",TRUE(),_xlfn._xlws.FILTER(Speakers_in_Recordings!$A$2:$A$1502,Speakers_in_Recordings!$B$2:$B$1502=_xlfn.SINGLE(Spkrs[Speaker]),"N/A"))</f>
        <v>01_JOR_Bani_Saxar_Qasr_Amra_Tribal_Traditions, 06_JOR_Bani_Saxar_Questionnaire_Hgesh_Part_1, 07_JOR_Bani_Saxar_Questionnaire_Hgesh_Part_2, 08_JOR_Bani_Saxar_Questionnaire_Hgesh_Part_3, 14_JOR_Bani_Saxar_Nitl_Expressions_Zeben, 15_JOR_Bani_Saxar_Nitl_Expressions_Verbs_Grammar_Zeben, 19_JOR_Bani_Saxar_Dleyla_Recepies_Stories_Group_of_Women, 21_JOR_Bani_Saxar_Irbid, 22_JOR_Bani_Saxar_Msetba_Old_Sisters</v>
      </c>
    </row>
    <row r="169" spans="1:11" ht="14.45">
      <c r="A169" s="106"/>
      <c r="B169" s="106"/>
      <c r="D169" s="106"/>
      <c r="E169" s="106"/>
      <c r="F169" s="106"/>
      <c r="H169" s="106"/>
      <c r="I169" s="106"/>
      <c r="J169" s="9" t="str" cm="1">
        <f t="array" ref="J169">_xlfn.TEXTJOIN(", ",TRUE(),_xlfn._xlws.FILTER(Speakers_in_Recordings!$A$2:$A$1502,Speakers_in_Recordings!$B$2:$B$1502=_xlfn.SINGLE(Spkrs[Speaker]),"N/A"))</f>
        <v/>
      </c>
    </row>
    <row r="170" spans="1:11" ht="14.45">
      <c r="A170" s="106"/>
      <c r="B170" s="106"/>
      <c r="D170" s="106"/>
      <c r="E170" s="106"/>
      <c r="F170" s="106"/>
      <c r="H170" s="106"/>
      <c r="I170" s="106"/>
      <c r="J170" s="9" t="str" cm="1">
        <f t="array" ref="J170">_xlfn.TEXTJOIN(", ",TRUE(),_xlfn._xlws.FILTER(Speakers_in_Recordings!$A$2:$A$1502,Speakers_in_Recordings!$B$2:$B$1502=_xlfn.SINGLE(Spkrs[Speaker]),"N/A"))</f>
        <v/>
      </c>
    </row>
    <row r="171" spans="1:11" ht="14.45">
      <c r="A171" t="s">
        <v>1679</v>
      </c>
      <c r="B171" s="183"/>
      <c r="C171" t="s">
        <v>1374</v>
      </c>
      <c r="D171" s="183" t="s">
        <v>1520</v>
      </c>
      <c r="E171" s="183"/>
      <c r="H171" t="s">
        <v>1191</v>
      </c>
      <c r="J171" s="9" t="str" cm="1">
        <f t="array" ref="J171">_xlfn.TEXTJOIN(", ",TRUE(),_xlfn._xlws.FILTER(Speakers_in_Recordings!$A$2:$A$1502,Speakers_in_Recordings!$B$2:$B$1502=_xlfn.SINGLE(Spkrs[Speaker]),"N/A"))</f>
        <v>MOR_Zaer_AinAouda_women_2024</v>
      </c>
    </row>
    <row r="172" spans="1:11" ht="14.45">
      <c r="A172" t="s">
        <v>1680</v>
      </c>
      <c r="B172" s="183"/>
      <c r="C172" t="s">
        <v>1374</v>
      </c>
      <c r="D172" s="183" t="s">
        <v>1512</v>
      </c>
      <c r="E172" s="183"/>
      <c r="H172" t="s">
        <v>1191</v>
      </c>
      <c r="J172" s="9" t="str" cm="1">
        <f t="array" ref="J172">_xlfn.TEXTJOIN(", ",TRUE(),_xlfn._xlws.FILTER(Speakers_in_Recordings!$A$2:$A$1502,Speakers_in_Recordings!$B$2:$B$1502=_xlfn.SINGLE(Spkrs[Speaker]),"N/A"))</f>
        <v>N/A</v>
      </c>
    </row>
    <row r="173" spans="1:11" ht="14.45">
      <c r="A173" t="s">
        <v>1681</v>
      </c>
      <c r="B173" s="183"/>
      <c r="C173" t="s">
        <v>1374</v>
      </c>
      <c r="D173" s="183" t="s">
        <v>1520</v>
      </c>
      <c r="E173" s="183"/>
      <c r="H173" t="s">
        <v>1191</v>
      </c>
      <c r="J173" s="9" t="str" cm="1">
        <f t="array" ref="J173">_xlfn.TEXTJOIN(", ",TRUE(),_xlfn._xlws.FILTER(Speakers_in_Recordings!$A$2:$A$1502,Speakers_in_Recordings!$B$2:$B$1502=_xlfn.SINGLE(Spkrs[Speaker]),"N/A"))</f>
        <v>MOR_Shawiya_BeniMesnawi_Haynas_story_2023</v>
      </c>
    </row>
    <row r="174" spans="1:11" ht="14.45">
      <c r="A174" t="s">
        <v>1682</v>
      </c>
      <c r="B174" s="183"/>
      <c r="C174" t="s">
        <v>1374</v>
      </c>
      <c r="D174" s="183" t="s">
        <v>1528</v>
      </c>
      <c r="E174" s="183"/>
      <c r="H174" t="s">
        <v>1191</v>
      </c>
      <c r="J174" s="9" t="str" cm="1">
        <f t="array" ref="J174">_xlfn.TEXTJOIN(", ",TRUE(),_xlfn._xlws.FILTER(Speakers_in_Recordings!$A$2:$A$1502,Speakers_in_Recordings!$B$2:$B$1502=_xlfn.SINGLE(Spkrs[Speaker]),"N/A"))</f>
        <v>MOR_Zaer_Faytat_her_daughters_sickness_2024</v>
      </c>
    </row>
    <row r="175" spans="1:11" ht="14.45">
      <c r="A175" t="s">
        <v>1683</v>
      </c>
      <c r="B175" s="183"/>
      <c r="C175" t="s">
        <v>1381</v>
      </c>
      <c r="D175" s="183" t="s">
        <v>1684</v>
      </c>
      <c r="E175" s="183"/>
      <c r="H175" t="s">
        <v>1191</v>
      </c>
      <c r="J175" s="9" t="str" cm="1">
        <f t="array" ref="J175">_xlfn.TEXTJOIN(", ",TRUE(),_xlfn._xlws.FILTER(Speakers_in_Recordings!$A$2:$A$1502,Speakers_in_Recordings!$B$2:$B$1502=_xlfn.SINGLE(Spkrs[Speaker]),"N/A"))</f>
        <v>MOR_Shawiya_Mzab_l-Alwa_2022</v>
      </c>
    </row>
    <row r="176" spans="1:11" ht="14.45">
      <c r="A176" t="s">
        <v>1685</v>
      </c>
      <c r="B176" s="183"/>
      <c r="C176" t="s">
        <v>1381</v>
      </c>
      <c r="D176" s="183" t="s">
        <v>1520</v>
      </c>
      <c r="E176" s="183"/>
      <c r="H176" t="s">
        <v>1191</v>
      </c>
      <c r="J176" s="9" t="str" cm="1">
        <f t="array" ref="J176">_xlfn.TEXTJOIN(", ",TRUE(),_xlfn._xlws.FILTER(Speakers_in_Recordings!$A$2:$A$1502,Speakers_in_Recordings!$B$2:$B$1502=_xlfn.SINGLE(Spkrs[Speaker]),"N/A"))</f>
        <v>MOR_Zaer_Rommani_TribeGhwalem_worker_life and a joke_2023</v>
      </c>
    </row>
    <row r="177" spans="1:10" ht="14.45">
      <c r="A177" t="s">
        <v>1686</v>
      </c>
      <c r="B177" s="183"/>
      <c r="C177" t="s">
        <v>1381</v>
      </c>
      <c r="D177" s="183" t="s">
        <v>1687</v>
      </c>
      <c r="E177" s="183"/>
      <c r="H177" t="s">
        <v>1191</v>
      </c>
      <c r="J177" s="9" t="str" cm="1">
        <f t="array" ref="J177">_xlfn.TEXTJOIN(", ",TRUE(),_xlfn._xlws.FILTER(Speakers_in_Recordings!$A$2:$A$1502,Speakers_in_Recordings!$B$2:$B$1502=_xlfn.SINGLE(Spkrs[Speaker]),"N/A"))</f>
        <v>MOR_Zaer_Had-l-Ghwalem_WWII_colonialism_2022</v>
      </c>
    </row>
    <row r="178" spans="1:10" ht="15" customHeight="1">
      <c r="J178" s="9" t="str" cm="1">
        <f t="array" ref="J178">_xlfn.TEXTJOIN(", ",TRUE(),_xlfn._xlws.FILTER(Speakers_in_Recordings!$A$2:$A$1502,Speakers_in_Recordings!$B$2:$B$1502=_xlfn.SINGLE(Spkrs[Speaker]),"N/A"))</f>
        <v/>
      </c>
    </row>
    <row r="179" spans="1:10" ht="15" customHeight="1">
      <c r="A179" s="115" t="s">
        <v>1688</v>
      </c>
      <c r="B179" s="146" t="s">
        <v>1373</v>
      </c>
      <c r="C179" s="112" t="s">
        <v>1381</v>
      </c>
      <c r="D179" s="184"/>
      <c r="E179" s="113" t="s">
        <v>1376</v>
      </c>
      <c r="F179" s="113"/>
      <c r="G179" s="112"/>
      <c r="H179" s="113"/>
      <c r="I179" s="113" t="s">
        <v>1689</v>
      </c>
      <c r="J179" s="9" t="str" cm="1">
        <f t="array" ref="J179">_xlfn.TEXTJOIN(", ",TRUE(),_xlfn._xlws.FILTER(Speakers_in_Recordings!$A$2:$A$1502,Speakers_in_Recordings!$B$2:$B$1502=_xlfn.SINGLE(Spkrs[Speaker]),"N/A"))</f>
        <v>RSD_JOR_2024_Speaker12_traditions_history_1, RSD_JOR_2024_Speaker12_traditions_history_2, RSD_JOR_2024_Speaker12_weddingtraditions, RSD_JOR_2024_Speaker2_history_migration_story, RSD_JOR_2024_ajloun_questionnaire, RSD_JOR_2024_ghor_questionnaire, SALMAN_JOR_2024_ajloun_culture_house, HWETAT_JOR_2024_Speaker1_history_hwetat_rashayda_1, HWETAT_JOR_2024_Speaker1_history_hwetat_rashayda_2, HWETAT_JOR_2024_Speaker1_language_information_and_questionnaire, HWETAT_JOR_2024_Speaker1_language_information_and_questionnaire_2, HWETAT_JOR_2024_Speaker1_wedding_traditions</v>
      </c>
    </row>
    <row r="180" spans="1:10" ht="15" customHeight="1">
      <c r="A180" s="116" t="s">
        <v>1690</v>
      </c>
      <c r="B180" s="146" t="s">
        <v>1691</v>
      </c>
      <c r="C180" s="112" t="s">
        <v>1374</v>
      </c>
      <c r="D180" s="184" t="s">
        <v>1692</v>
      </c>
      <c r="E180" s="113" t="s">
        <v>1397</v>
      </c>
      <c r="F180" s="113"/>
      <c r="G180" s="112"/>
      <c r="H180" s="113" t="s">
        <v>1644</v>
      </c>
      <c r="I180" s="113" t="s">
        <v>1693</v>
      </c>
      <c r="J180" s="9" t="str" cm="1">
        <f t="array" ref="J180">_xlfn.TEXTJOIN(", ",TRUE(),_xlfn._xlws.FILTER(Speakers_in_Recordings!$A$2:$A$1502,Speakers_in_Recordings!$B$2:$B$1502=_xlfn.SINGLE(Spkrs[Speaker]),"N/A"))</f>
        <v>RSD_JOR_2024_Speaker1_ghor_wedding_traditions, RSD_JOR_2024_Speaker1_ghor_wedding_traditions_2</v>
      </c>
    </row>
    <row r="181" spans="1:10" ht="15" customHeight="1">
      <c r="A181" s="116" t="s">
        <v>1694</v>
      </c>
      <c r="B181" s="182" t="s">
        <v>1387</v>
      </c>
      <c r="C181" s="112" t="s">
        <v>1381</v>
      </c>
      <c r="D181" s="184" t="s">
        <v>1692</v>
      </c>
      <c r="E181" s="113" t="s">
        <v>1504</v>
      </c>
      <c r="F181" s="113"/>
      <c r="G181" s="112"/>
      <c r="H181" s="113" t="s">
        <v>1644</v>
      </c>
      <c r="I181" s="113" t="s">
        <v>1695</v>
      </c>
      <c r="J181" s="9" t="str" cm="1">
        <f t="array" ref="J181">_xlfn.TEXTJOIN(", ",TRUE(),_xlfn._xlws.FILTER(Speakers_in_Recordings!$A$2:$A$1502,Speakers_in_Recordings!$B$2:$B$1502=_xlfn.SINGLE(Spkrs[Speaker]),"N/A"))</f>
        <v>RSD_JOR_2024_Speaker1_ghor_wedding_traditions</v>
      </c>
    </row>
    <row r="182" spans="1:10" ht="15" customHeight="1">
      <c r="A182" s="116" t="s">
        <v>1696</v>
      </c>
      <c r="B182" s="146" t="s">
        <v>1691</v>
      </c>
      <c r="C182" s="112" t="s">
        <v>1374</v>
      </c>
      <c r="D182" s="184"/>
      <c r="E182" s="113" t="s">
        <v>1400</v>
      </c>
      <c r="F182" s="113"/>
      <c r="G182" s="112"/>
      <c r="H182" s="113" t="s">
        <v>1644</v>
      </c>
      <c r="I182" s="113"/>
      <c r="J182" s="9" t="str" cm="1">
        <f t="array" ref="J182">_xlfn.TEXTJOIN(", ",TRUE(),_xlfn._xlws.FILTER(Speakers_in_Recordings!$A$2:$A$1502,Speakers_in_Recordings!$B$2:$B$1502=_xlfn.SINGLE(Spkrs[Speaker]),"N/A"))</f>
        <v>RSD_JOR_2024_Speaker1_ghor_wedding_traditions_2, RSD_JOR_2024_Speaker12_weddingtraditions, RSD_JOR_2024_Speaker2_history_migration_story, RSD_JOR_2024_Speaker2_miscellaneous, RSD_JOR_2024_Speaker2_wedding_traditions, RSD_JOR_2024_Speaker13_history_1, RSD_JOR_2024_Speaker13_history_2, RSD_JOR_2024_Speaker13_history_3, RSD_JOR_2024_Speaker13_history_4, RSD_JOR_2024_Speaker13_business, RSD_JOR_2024_Speaker13_womens_work, RSD_JOR_2024_Speaker13_tribal_arbitrator, RSD_JOR_2024_Speaker13_daxil, RSD_JOR_2024_ajloun_questionnaire, RSD_JOR_2024_ghor_questionnaire, RSD_JOR_2024_shuna_questionnaire_1, RSD_JOR_2024_shuna_questionnaire_2, RSD_JOR_2024_Speaker25_coffeetraditions, RSD_JOR_2024_Speaker25_animalslaughterforguest, RSD_JOR_2024_Speaker25_guestreception, RSD_JOR_2024_Speaker25_tribal_history, RSD_JOR_2024_Speaker25_banishment, RSD_JOR_2024_Speaker25_daxil, RSD_JOR_2024_Speaker22_customs_weddings_language, RSD_JOR_2024_refugee_centre_1, RSD_JOR_2024_refugee_centre_2, SALMAN_JOR_2024_ajloun_culture_house, HWETAT_JOR_2024_Speaker1_history_hwetat_rashayda_1, HWETAT_JOR_2024_Speaker1_history_hwetat_rashayda_2, HWETAT_JOR_2024_Speaker1_language_information_and_questionnaire, HWETAT_JOR_2024_Speaker1_language_information_and_questionnaire_2, HWETAT_JOR_2024_Speaker1_wedding_traditions, HWETAT_JOR_2024_Speaker2_1, HWETAT_JOR_2024_Speaker2_2, HWETAT_JOR_2024_Speaker2_3, HWETAT_JOR_2024_Speaker2_4, HWETAT_JOR_2024_Speaker2_5</v>
      </c>
    </row>
    <row r="183" spans="1:10" ht="15" customHeight="1">
      <c r="A183" s="116" t="s">
        <v>1697</v>
      </c>
      <c r="B183" s="146" t="s">
        <v>1691</v>
      </c>
      <c r="C183" s="112" t="s">
        <v>1381</v>
      </c>
      <c r="D183" s="184" t="s">
        <v>1692</v>
      </c>
      <c r="E183" s="113" t="s">
        <v>1382</v>
      </c>
      <c r="F183" s="113"/>
      <c r="G183" s="112"/>
      <c r="H183" s="113" t="s">
        <v>1644</v>
      </c>
      <c r="I183" s="113" t="s">
        <v>1698</v>
      </c>
      <c r="J183" s="9" t="str" cm="1">
        <f t="array" ref="J183">_xlfn.TEXTJOIN(", ",TRUE(),_xlfn._xlws.FILTER(Speakers_in_Recordings!$A$2:$A$1502,Speakers_in_Recordings!$B$2:$B$1502=_xlfn.SINGLE(Spkrs[Speaker]),"N/A"))</f>
        <v>RSD_JOR_2024_Speaker2_history_migration_story, RSD_JOR_2024_Speaker2_miscellaneous, RSD_JOR_2024_Speaker2_wedding_traditions, RSD_JOR_2024_ghor_questionnaire, RSD_JOR_2024_majlis_men_from_ghor_4_miscellaneous, RSD_JOR_2024_majlis_men_from_ghor_5_dialect, RSD_JOR_2024_majlis_men_from_ghor_6_tribal_traditions, RSD_JOR_2024_majlis_men_from_ghor_7_more tribal_traditions, RSD_JOR_2024_majlis_men_from_ghor_9_tribal_information_and_personal_questions</v>
      </c>
    </row>
    <row r="184" spans="1:10" ht="14.45">
      <c r="A184" s="116" t="s">
        <v>1699</v>
      </c>
      <c r="B184" s="146" t="s">
        <v>1691</v>
      </c>
      <c r="C184" s="112" t="s">
        <v>1381</v>
      </c>
      <c r="D184" s="184" t="s">
        <v>1692</v>
      </c>
      <c r="E184" s="113" t="s">
        <v>1384</v>
      </c>
      <c r="F184" s="113"/>
      <c r="G184" s="112"/>
      <c r="H184" s="113" t="s">
        <v>1644</v>
      </c>
      <c r="I184" s="113" t="s">
        <v>1700</v>
      </c>
      <c r="J184" s="9" t="str" cm="1">
        <f t="array" ref="J184">_xlfn.TEXTJOIN(", ",TRUE(),_xlfn._xlws.FILTER(Speakers_in_Recordings!$A$2:$A$1502,Speakers_in_Recordings!$B$2:$B$1502=_xlfn.SINGLE(Spkrs[Speaker]),"N/A"))</f>
        <v>RSD_JOR_2024_Speaker2_history_migration_story, RSD_JOR_2024_Speaker2_miscellaneous, RSD_JOR_2024_Speaker2_wedding_traditions, RSD_JOR_2024_ghor_questionnaire</v>
      </c>
    </row>
    <row r="185" spans="1:10">
      <c r="A185" s="116" t="s">
        <v>1701</v>
      </c>
      <c r="B185" s="146" t="s">
        <v>1691</v>
      </c>
      <c r="C185" s="112" t="s">
        <v>1381</v>
      </c>
      <c r="D185" s="184" t="s">
        <v>1702</v>
      </c>
      <c r="E185" s="113" t="s">
        <v>1397</v>
      </c>
      <c r="F185" s="113"/>
      <c r="G185" s="112"/>
      <c r="H185" s="113" t="s">
        <v>1644</v>
      </c>
      <c r="I185" s="113" t="s">
        <v>1703</v>
      </c>
      <c r="J185" s="9" t="str" cm="1">
        <f t="array" ref="J185">_xlfn.TEXTJOIN(", ",TRUE(),_xlfn._xlws.FILTER(Speakers_in_Recordings!$A$2:$A$1502,Speakers_in_Recordings!$B$2:$B$1502=_xlfn.SINGLE(Spkrs[Speaker]),"N/A"))</f>
        <v>RSD_JOR_2024_Speaker2_history_migration_story, RSD_JOR_2024_Speaker2_miscellaneous, RSD_JOR_2024_Speaker2_wedding_traditions, RSD_JOR_2024_ghor_questionnaire</v>
      </c>
    </row>
    <row r="186" spans="1:10" ht="14.45">
      <c r="A186" s="117" t="s">
        <v>1704</v>
      </c>
      <c r="B186" s="147" t="s">
        <v>1691</v>
      </c>
      <c r="C186" s="112" t="s">
        <v>1381</v>
      </c>
      <c r="D186" s="185" t="s">
        <v>1705</v>
      </c>
      <c r="E186" t="s">
        <v>1382</v>
      </c>
      <c r="H186" s="113" t="s">
        <v>1644</v>
      </c>
      <c r="I186" t="s">
        <v>1706</v>
      </c>
      <c r="J186" s="9" t="str" cm="1">
        <f t="array" ref="J186">_xlfn.TEXTJOIN(", ",TRUE(),_xlfn._xlws.FILTER(Speakers_in_Recordings!$A$2:$A$1502,Speakers_in_Recordings!$B$2:$B$1502=_xlfn.SINGLE(Spkrs[Speaker]),"N/A"))</f>
        <v>RSD_JOR_2024_ajloun_questionnaire, RSD_JOR_2024_ajloun_2, SALMAN_JOR_2024_ajloun_culture_house</v>
      </c>
    </row>
    <row r="187" spans="1:10" ht="15" customHeight="1">
      <c r="A187" s="118" t="s">
        <v>1707</v>
      </c>
      <c r="B187" s="147" t="s">
        <v>1691</v>
      </c>
      <c r="C187" s="112" t="s">
        <v>1381</v>
      </c>
      <c r="D187" s="186" t="s">
        <v>1708</v>
      </c>
      <c r="E187" t="s">
        <v>1384</v>
      </c>
      <c r="H187" s="113" t="s">
        <v>1644</v>
      </c>
      <c r="I187" t="s">
        <v>1709</v>
      </c>
      <c r="J187" s="9" t="str" cm="1">
        <f t="array" ref="J187">_xlfn.TEXTJOIN(", ",TRUE(),_xlfn._xlws.FILTER(Speakers_in_Recordings!$A$2:$A$1502,Speakers_in_Recordings!$B$2:$B$1502=_xlfn.SINGLE(Spkrs[Speaker]),"N/A"))</f>
        <v>SALMAN_JOR_2024_ajloun_culture_house</v>
      </c>
    </row>
    <row r="188" spans="1:10" ht="15" customHeight="1">
      <c r="A188" s="118" t="s">
        <v>1710</v>
      </c>
      <c r="B188" s="147" t="s">
        <v>1691</v>
      </c>
      <c r="C188" s="112" t="s">
        <v>1381</v>
      </c>
      <c r="D188" s="186" t="s">
        <v>1711</v>
      </c>
      <c r="E188" t="s">
        <v>1384</v>
      </c>
      <c r="H188" s="113" t="s">
        <v>1644</v>
      </c>
      <c r="I188" t="s">
        <v>1709</v>
      </c>
      <c r="J188" s="9" t="str" cm="1">
        <f t="array" ref="J188">_xlfn.TEXTJOIN(", ",TRUE(),_xlfn._xlws.FILTER(Speakers_in_Recordings!$A$2:$A$1502,Speakers_in_Recordings!$B$2:$B$1502=_xlfn.SINGLE(Spkrs[Speaker]),"N/A"))</f>
        <v>SALMAN_JOR_2024_ajloun_culture_house</v>
      </c>
    </row>
    <row r="189" spans="1:10" ht="15" customHeight="1">
      <c r="A189" s="118" t="s">
        <v>1712</v>
      </c>
      <c r="B189" s="147" t="s">
        <v>1691</v>
      </c>
      <c r="C189" s="112" t="s">
        <v>1381</v>
      </c>
      <c r="D189" s="186" t="s">
        <v>1713</v>
      </c>
      <c r="E189" t="s">
        <v>1397</v>
      </c>
      <c r="H189" s="113" t="s">
        <v>1644</v>
      </c>
      <c r="I189" t="s">
        <v>1714</v>
      </c>
      <c r="J189" s="9" t="str" cm="1">
        <f t="array" ref="J189">_xlfn.TEXTJOIN(", ",TRUE(),_xlfn._xlws.FILTER(Speakers_in_Recordings!$A$2:$A$1502,Speakers_in_Recordings!$B$2:$B$1502=_xlfn.SINGLE(Spkrs[Speaker]),"N/A"))</f>
        <v>RSD_JOR_2024_ajloun_questionnaire, SALMAN_JOR_2024_ajloun_culture_house</v>
      </c>
    </row>
    <row r="190" spans="1:10" ht="15" customHeight="1">
      <c r="A190" s="118" t="s">
        <v>1715</v>
      </c>
      <c r="B190" s="147" t="s">
        <v>1691</v>
      </c>
      <c r="C190" s="112" t="s">
        <v>1381</v>
      </c>
      <c r="D190" s="186" t="s">
        <v>1716</v>
      </c>
      <c r="E190" t="s">
        <v>1384</v>
      </c>
      <c r="H190" s="113" t="s">
        <v>1644</v>
      </c>
      <c r="I190" t="s">
        <v>1709</v>
      </c>
      <c r="J190" s="9" t="str" cm="1">
        <f t="array" ref="J190">_xlfn.TEXTJOIN(", ",TRUE(),_xlfn._xlws.FILTER(Speakers_in_Recordings!$A$2:$A$1502,Speakers_in_Recordings!$B$2:$B$1502=_xlfn.SINGLE(Spkrs[Speaker]),"N/A"))</f>
        <v>SALMAN_JOR_2024_ajloun_culture_house</v>
      </c>
    </row>
    <row r="191" spans="1:10" ht="15" customHeight="1">
      <c r="A191" s="118" t="s">
        <v>1717</v>
      </c>
      <c r="B191" s="147" t="s">
        <v>1691</v>
      </c>
      <c r="C191" s="112" t="s">
        <v>1381</v>
      </c>
      <c r="D191" s="186" t="s">
        <v>1718</v>
      </c>
      <c r="E191" t="s">
        <v>1384</v>
      </c>
      <c r="H191" s="113" t="s">
        <v>1644</v>
      </c>
      <c r="I191" t="s">
        <v>1709</v>
      </c>
      <c r="J191" s="9" t="str" cm="1">
        <f t="array" ref="J191">_xlfn.TEXTJOIN(", ",TRUE(),_xlfn._xlws.FILTER(Speakers_in_Recordings!$A$2:$A$1502,Speakers_in_Recordings!$B$2:$B$1502=_xlfn.SINGLE(Spkrs[Speaker]),"N/A"))</f>
        <v>SALMAN_JOR_2024_ajloun_culture_house</v>
      </c>
    </row>
    <row r="192" spans="1:10" ht="15" customHeight="1">
      <c r="A192" s="118" t="s">
        <v>1719</v>
      </c>
      <c r="B192" s="147" t="s">
        <v>1691</v>
      </c>
      <c r="C192" s="112" t="s">
        <v>1381</v>
      </c>
      <c r="D192" s="186" t="s">
        <v>1720</v>
      </c>
      <c r="E192" t="s">
        <v>1382</v>
      </c>
      <c r="H192" s="113" t="s">
        <v>1644</v>
      </c>
      <c r="I192" t="s">
        <v>1709</v>
      </c>
      <c r="J192" s="9" t="str" cm="1">
        <f t="array" ref="J192">_xlfn.TEXTJOIN(", ",TRUE(),_xlfn._xlws.FILTER(Speakers_in_Recordings!$A$2:$A$1502,Speakers_in_Recordings!$B$2:$B$1502=_xlfn.SINGLE(Spkrs[Speaker]),"N/A"))</f>
        <v>RSD_JOR_2024_Speaker12_traditions_history_2, RSD_JOR_2024_ajloun_questionnaire</v>
      </c>
    </row>
    <row r="193" spans="1:10" ht="15" customHeight="1">
      <c r="A193" s="119" t="s">
        <v>1721</v>
      </c>
      <c r="B193" s="150" t="s">
        <v>1373</v>
      </c>
      <c r="C193" s="112" t="s">
        <v>1381</v>
      </c>
      <c r="D193" s="120"/>
      <c r="E193" t="s">
        <v>1390</v>
      </c>
      <c r="H193" s="113" t="s">
        <v>1644</v>
      </c>
      <c r="I193" t="s">
        <v>1722</v>
      </c>
      <c r="J193" s="9" t="str" cm="1">
        <f t="array" ref="J193">_xlfn.TEXTJOIN(", ",TRUE(),_xlfn._xlws.FILTER(Speakers_in_Recordings!$A$2:$A$1502,Speakers_in_Recordings!$B$2:$B$1502=_xlfn.SINGLE(Spkrs[Speaker]),"N/A"))</f>
        <v>RSD_JOR_2024_Speaker12_traditions_history_1, RSD_JOR_2024_Speaker12_traditions_history_2, RSD_JOR_2024_Speaker12_traditions_history_3, RSD_JOR_2024_Speaker12_weddingtraditions, RSD_JOR_2024_ajloun_1</v>
      </c>
    </row>
    <row r="194" spans="1:10" ht="15" customHeight="1">
      <c r="A194" s="117" t="s">
        <v>1723</v>
      </c>
      <c r="B194" s="147" t="s">
        <v>1691</v>
      </c>
      <c r="C194" s="112" t="s">
        <v>1381</v>
      </c>
      <c r="E194" t="s">
        <v>1382</v>
      </c>
      <c r="H194" s="113" t="s">
        <v>1644</v>
      </c>
      <c r="J194" s="9" t="str" cm="1">
        <f t="array" ref="J194">_xlfn.TEXTJOIN(", ",TRUE(),_xlfn._xlws.FILTER(Speakers_in_Recordings!$A$2:$A$1502,Speakers_in_Recordings!$B$2:$B$1502=_xlfn.SINGLE(Spkrs[Speaker]),"N/A"))</f>
        <v>RSD_JOR_2024_Speaker13_history_1, RSD_JOR_2024_Speaker13_history_2, RSD_JOR_2024_Speaker13_history_3, RSD_JOR_2024_Speaker13_history_4, RSD_JOR_2024_Speaker13_business, RSD_JOR_2024_Speaker13_womens_work, RSD_JOR_2024_Speaker13_tribal_arbitrator, RSD_JOR_2024_Speaker13_daxil, RSD_JOR_2024_shuna_questionnaire_1, RSD_JOR_2024_shuna_questionnaire_2, RSD_JOR_2024_shuna_session_evening_5, RSD_JOR_2024_shuna_session_evening_6, RSD_JOR_2024_shuna_session_evening_7, RSD_JOR_2024_shuna_session_evening_8, RSD_JOR_2024_shuna_session_evening_9, RSD_JOR_2024_shuna_session_evening_10, RSD_JOR_2024_shuna_session_evening_11, RSD_JOR_2024_shuna_session_evening_12, RSD_JOR_2024_shuna_session_evening_13, RSD_JOR_2024_shuna_session_evening_14</v>
      </c>
    </row>
    <row r="195" spans="1:10" ht="15" customHeight="1">
      <c r="A195" s="118" t="s">
        <v>1724</v>
      </c>
      <c r="B195" s="147" t="s">
        <v>1373</v>
      </c>
      <c r="C195" s="112" t="s">
        <v>1381</v>
      </c>
      <c r="E195" t="s">
        <v>1676</v>
      </c>
      <c r="H195" s="113" t="s">
        <v>1644</v>
      </c>
      <c r="J195" s="9" t="str" cm="1">
        <f t="array" ref="J195">_xlfn.TEXTJOIN(", ",TRUE(),_xlfn._xlws.FILTER(Speakers_in_Recordings!$A$2:$A$1502,Speakers_in_Recordings!$B$2:$B$1502=_xlfn.SINGLE(Spkrs[Speaker]),"N/A"))</f>
        <v>N/A</v>
      </c>
    </row>
    <row r="196" spans="1:10" ht="15" customHeight="1">
      <c r="A196" s="118" t="s">
        <v>1725</v>
      </c>
      <c r="B196" s="147" t="s">
        <v>1373</v>
      </c>
      <c r="C196" s="112" t="s">
        <v>1381</v>
      </c>
      <c r="E196" t="s">
        <v>1376</v>
      </c>
      <c r="H196" s="113" t="s">
        <v>1644</v>
      </c>
      <c r="J196" s="9" t="str" cm="1">
        <f t="array" ref="J196">_xlfn.TEXTJOIN(", ",TRUE(),_xlfn._xlws.FILTER(Speakers_in_Recordings!$A$2:$A$1502,Speakers_in_Recordings!$B$2:$B$1502=_xlfn.SINGLE(Spkrs[Speaker]),"N/A"))</f>
        <v>RSD_JOR_2024_Speaker13_history_2, RSD_JOR_2024_Speaker13_history_3, RSD_JOR_2024_Speaker13_tribal_arbitrator, RSD_JOR_2024_Speaker13_daxil, RSD_JOR_2024_shuna_questionnaire_1</v>
      </c>
    </row>
    <row r="197" spans="1:10" ht="15" customHeight="1">
      <c r="A197" s="118" t="s">
        <v>1726</v>
      </c>
      <c r="B197" s="147" t="s">
        <v>1373</v>
      </c>
      <c r="C197" s="112" t="s">
        <v>1381</v>
      </c>
      <c r="E197" t="s">
        <v>1376</v>
      </c>
      <c r="H197" s="113" t="s">
        <v>1644</v>
      </c>
      <c r="J197" s="9" t="str" cm="1">
        <f t="array" ref="J197">_xlfn.TEXTJOIN(", ",TRUE(),_xlfn._xlws.FILTER(Speakers_in_Recordings!$A$2:$A$1502,Speakers_in_Recordings!$B$2:$B$1502=_xlfn.SINGLE(Spkrs[Speaker]),"N/A"))</f>
        <v>RSD_JOR_2024_Speaker13_history_3, RSD_JOR_2024_Speaker13_history_4, RSD_JOR_2024_Speaker13_business, RSD_JOR_2024_Speaker13_daxil, RSD_JOR_2024_shuna_questionnaire_1, RSD_JOR_2024_shuna_questionnaire_2, RSD_JOR_2024_shuna_session_morning_1, RSD_JOR_2024_shuna_session_morning_2, RSD_JOR_2024_shuna_session_morning_3, RSD_JOR_2024_shuna_session_morning_4, RSD_JOR_2024_shuna_session_morning_5, RSD_JOR_2024_shuna_session_morning_6, RSD_JOR_2024_shuna_session_morning_7, RSD_JOR_2024_shuna_session_morning_8, RSD_JOR_2024_shuna_session_morning_9, RSD_JOR_2024_shuna_session_morning_10</v>
      </c>
    </row>
    <row r="198" spans="1:10" ht="15" customHeight="1">
      <c r="A198" s="118" t="s">
        <v>1727</v>
      </c>
      <c r="B198" s="147" t="s">
        <v>1373</v>
      </c>
      <c r="C198" s="112" t="s">
        <v>1381</v>
      </c>
      <c r="E198" t="s">
        <v>1390</v>
      </c>
      <c r="H198" s="113" t="s">
        <v>1644</v>
      </c>
      <c r="J198" s="9" t="str" cm="1">
        <f t="array" ref="J198">_xlfn.TEXTJOIN(", ",TRUE(),_xlfn._xlws.FILTER(Speakers_in_Recordings!$A$2:$A$1502,Speakers_in_Recordings!$B$2:$B$1502=_xlfn.SINGLE(Spkrs[Speaker]),"N/A"))</f>
        <v>N/A</v>
      </c>
    </row>
    <row r="199" spans="1:10" ht="15" customHeight="1">
      <c r="A199" s="118" t="s">
        <v>1728</v>
      </c>
      <c r="B199" s="147" t="s">
        <v>1373</v>
      </c>
      <c r="C199" s="112" t="s">
        <v>1381</v>
      </c>
      <c r="E199" t="s">
        <v>1384</v>
      </c>
      <c r="H199" s="113" t="s">
        <v>1644</v>
      </c>
      <c r="J199" s="9" t="str" cm="1">
        <f t="array" ref="J199">_xlfn.TEXTJOIN(", ",TRUE(),_xlfn._xlws.FILTER(Speakers_in_Recordings!$A$2:$A$1502,Speakers_in_Recordings!$B$2:$B$1502=_xlfn.SINGLE(Spkrs[Speaker]),"N/A"))</f>
        <v>RSD_JOR_2024_Speaker13_history_4, RSD_JOR_2024_Speaker13_tribal_arbitrator, RSD_JOR_2024_Speaker13_daxil</v>
      </c>
    </row>
    <row r="200" spans="1:10" ht="15" customHeight="1">
      <c r="A200" s="120" t="s">
        <v>1729</v>
      </c>
      <c r="B200" s="147" t="s">
        <v>1373</v>
      </c>
      <c r="C200" s="112" t="s">
        <v>1381</v>
      </c>
      <c r="E200" t="s">
        <v>1390</v>
      </c>
      <c r="H200" s="113" t="s">
        <v>1644</v>
      </c>
      <c r="I200" t="s">
        <v>1730</v>
      </c>
      <c r="J200" s="9" t="str" cm="1">
        <f t="array" ref="J200">_xlfn.TEXTJOIN(", ",TRUE(),_xlfn._xlws.FILTER(Speakers_in_Recordings!$A$2:$A$1502,Speakers_in_Recordings!$B$2:$B$1502=_xlfn.SINGLE(Spkrs[Speaker]),"N/A"))</f>
        <v>N/A</v>
      </c>
    </row>
    <row r="201" spans="1:10" ht="15" customHeight="1">
      <c r="A201" s="120" t="s">
        <v>1731</v>
      </c>
      <c r="B201" s="147" t="s">
        <v>1373</v>
      </c>
      <c r="C201" s="112" t="s">
        <v>1381</v>
      </c>
      <c r="E201" t="s">
        <v>1397</v>
      </c>
      <c r="H201" s="113" t="s">
        <v>1644</v>
      </c>
      <c r="I201" t="s">
        <v>1732</v>
      </c>
      <c r="J201" s="9" t="str" cm="1">
        <f t="array" ref="J201">_xlfn.TEXTJOIN(", ",TRUE(),_xlfn._xlws.FILTER(Speakers_in_Recordings!$A$2:$A$1502,Speakers_in_Recordings!$B$2:$B$1502=_xlfn.SINGLE(Spkrs[Speaker]),"N/A"))</f>
        <v>RSD_JOR_2024_lawyers_1, RSD_JOR_2024_lawyers_2, RSD_JOR_2024_lawyers_3, RSD_JOR_2024_lawyers_4, RSD_JOR_2024_lawyers_5, RSD_JOR_2024_lawyers_6, RSD_JOR_2024_lawyers_11</v>
      </c>
    </row>
    <row r="202" spans="1:10" ht="15" customHeight="1">
      <c r="A202" s="120" t="s">
        <v>1733</v>
      </c>
      <c r="B202" s="147" t="s">
        <v>1373</v>
      </c>
      <c r="C202" s="112" t="s">
        <v>1381</v>
      </c>
      <c r="D202">
        <v>1993</v>
      </c>
      <c r="E202" t="s">
        <v>1635</v>
      </c>
      <c r="H202" s="113" t="s">
        <v>1644</v>
      </c>
      <c r="I202" t="s">
        <v>1734</v>
      </c>
      <c r="J202" s="9" t="str" cm="1">
        <f t="array" ref="J202">_xlfn.TEXTJOIN(", ",TRUE(),_xlfn._xlws.FILTER(Speakers_in_Recordings!$A$2:$A$1502,Speakers_in_Recordings!$B$2:$B$1502=_xlfn.SINGLE(Spkrs[Speaker]),"N/A"))</f>
        <v>N/A</v>
      </c>
    </row>
    <row r="203" spans="1:10" ht="15" customHeight="1">
      <c r="A203" s="120" t="s">
        <v>1735</v>
      </c>
      <c r="B203" s="147" t="s">
        <v>1373</v>
      </c>
      <c r="C203" t="s">
        <v>1374</v>
      </c>
      <c r="D203">
        <v>1996</v>
      </c>
      <c r="E203" t="s">
        <v>1635</v>
      </c>
      <c r="H203" s="113" t="s">
        <v>1644</v>
      </c>
      <c r="I203" t="s">
        <v>1736</v>
      </c>
      <c r="J203" s="9" t="str" cm="1">
        <f t="array" ref="J203">_xlfn.TEXTJOIN(", ",TRUE(),_xlfn._xlws.FILTER(Speakers_in_Recordings!$A$2:$A$1502,Speakers_in_Recordings!$B$2:$B$1502=_xlfn.SINGLE(Spkrs[Speaker]),"N/A"))</f>
        <v>RSD_JOR_2024_Speaker22_customs_weddings_language, RSD_JOR_2024_lawyers_8, RSD_JOR_2024_lawyers_9, RSD_JOR_2024_lawyers_10</v>
      </c>
    </row>
    <row r="204" spans="1:10" ht="15" customHeight="1">
      <c r="A204" s="120" t="s">
        <v>1737</v>
      </c>
      <c r="B204" s="147" t="s">
        <v>1373</v>
      </c>
      <c r="C204" t="s">
        <v>1374</v>
      </c>
      <c r="E204" t="s">
        <v>1382</v>
      </c>
      <c r="H204" s="113" t="s">
        <v>1738</v>
      </c>
      <c r="I204" t="s">
        <v>1739</v>
      </c>
      <c r="J204" s="9" t="str" cm="1">
        <f t="array" ref="J204">_xlfn.TEXTJOIN(", ",TRUE(),_xlfn._xlws.FILTER(Speakers_in_Recordings!$A$2:$A$1502,Speakers_in_Recordings!$B$2:$B$1502=_xlfn.SINGLE(Spkrs[Speaker]),"N/A"))</f>
        <v>RSD_JOR_2024_shuna_questionnaire_1, RSD_JOR_2024_shuna_questionnaire_2</v>
      </c>
    </row>
    <row r="205" spans="1:10" ht="15" customHeight="1">
      <c r="A205" s="115" t="s">
        <v>1740</v>
      </c>
      <c r="B205" s="146" t="s">
        <v>1373</v>
      </c>
      <c r="C205" t="s">
        <v>1381</v>
      </c>
      <c r="E205" t="s">
        <v>1676</v>
      </c>
      <c r="H205" s="113" t="s">
        <v>1644</v>
      </c>
      <c r="I205" t="s">
        <v>1741</v>
      </c>
      <c r="J205" s="9" t="str" cm="1">
        <f t="array" ref="J205">_xlfn.TEXTJOIN(", ",TRUE(),_xlfn._xlws.FILTER(Speakers_in_Recordings!$A$2:$A$1502,Speakers_in_Recordings!$B$2:$B$1502=_xlfn.SINGLE(Spkrs[Speaker]),"N/A"))</f>
        <v>RSD_JOR_2024_Speaker13_history_1, RSD_JOR_2024_Speaker13_history_3, RSD_JOR_2024_Speaker13_tribal_arbitrator, RSD_JOR_2024_Speaker13_daxil</v>
      </c>
    </row>
    <row r="206" spans="1:10" ht="15" customHeight="1">
      <c r="A206" s="120" t="s">
        <v>1742</v>
      </c>
      <c r="B206" s="170" t="s">
        <v>1387</v>
      </c>
      <c r="C206" t="s">
        <v>1374</v>
      </c>
      <c r="E206" t="s">
        <v>1384</v>
      </c>
      <c r="H206" t="s">
        <v>1644</v>
      </c>
      <c r="I206" t="s">
        <v>1743</v>
      </c>
      <c r="J206" s="9" t="str" cm="1">
        <f t="array" ref="J206">_xlfn.TEXTJOIN(", ",TRUE(),_xlfn._xlws.FILTER(Speakers_in_Recordings!$A$2:$A$1502,Speakers_in_Recordings!$B$2:$B$1502=_xlfn.SINGLE(Spkrs[Speaker]),"N/A"))</f>
        <v>RSD_JOR_2024_Speaker25_coffeetraditions, RSD_JOR_2024_Speaker25_animalslaughterforguest, RSD_JOR_2024_Speaker25_guestreception, RSD_JOR_2024_Speaker25_tribal_history, RSD_JOR_2024_Speaker25_daxil, RSD_JOR_2024_refugee_centre_1, RSD_JOR_2024_refugee_centre_2</v>
      </c>
    </row>
    <row r="207" spans="1:10" ht="15" customHeight="1">
      <c r="A207" s="120" t="s">
        <v>1744</v>
      </c>
      <c r="B207" s="146" t="s">
        <v>1373</v>
      </c>
      <c r="C207" t="s">
        <v>1381</v>
      </c>
      <c r="E207" t="s">
        <v>1376</v>
      </c>
      <c r="H207" t="s">
        <v>1644</v>
      </c>
      <c r="I207" t="s">
        <v>1745</v>
      </c>
      <c r="J207" s="9" t="str" cm="1">
        <f t="array" ref="J207">_xlfn.TEXTJOIN(", ",TRUE(),_xlfn._xlws.FILTER(Speakers_in_Recordings!$A$2:$A$1502,Speakers_in_Recordings!$B$2:$B$1502=_xlfn.SINGLE(Spkrs[Speaker]),"N/A"))</f>
        <v>RSD_JOR_2024_Speaker25_coffeetraditions, RSD_JOR_2024_Speaker25_animalslaughterforguest, RSD_JOR_2024_Speaker25_guestreception, RSD_JOR_2024_Speaker25_tribal_law, RSD_JOR_2024_Speaker25_tribal_history, RSD_JOR_2024_Speaker25_banishment, RSD_JOR_2024_Speaker25_daxil, RSD_JOR_2024_refugee_centre_1, RSD_JOR_2024_refugee_centre_2</v>
      </c>
    </row>
    <row r="208" spans="1:10" ht="15" customHeight="1">
      <c r="A208" s="120" t="s">
        <v>1746</v>
      </c>
      <c r="B208" s="146" t="s">
        <v>1373</v>
      </c>
      <c r="C208" t="s">
        <v>1381</v>
      </c>
      <c r="E208" t="s">
        <v>1400</v>
      </c>
      <c r="H208" t="s">
        <v>1644</v>
      </c>
      <c r="I208" t="s">
        <v>1747</v>
      </c>
      <c r="J208" s="9" t="str" cm="1">
        <f t="array" ref="J208">_xlfn.TEXTJOIN(", ",TRUE(),_xlfn._xlws.FILTER(Speakers_in_Recordings!$A$2:$A$1502,Speakers_in_Recordings!$B$2:$B$1502=_xlfn.SINGLE(Spkrs[Speaker]),"N/A"))</f>
        <v>RSD_JOR_2024_Speaker25_coffeetraditions, RSD_JOR_2024_Speaker25_guestreception, RSD_JOR_2024_Speaker25_daxil, RSD_JOR_2024_refugee_centre_1, RSD_JOR_2024_refugee_centre_2</v>
      </c>
    </row>
    <row r="209" spans="1:10" ht="15" customHeight="1">
      <c r="A209" s="120" t="s">
        <v>1748</v>
      </c>
      <c r="B209" s="146" t="s">
        <v>1373</v>
      </c>
      <c r="C209" t="s">
        <v>1381</v>
      </c>
      <c r="E209" t="s">
        <v>1400</v>
      </c>
      <c r="H209" t="s">
        <v>1644</v>
      </c>
      <c r="I209" t="s">
        <v>1749</v>
      </c>
      <c r="J209" s="9" t="str" cm="1">
        <f t="array" ref="J209">_xlfn.TEXTJOIN(", ",TRUE(),_xlfn._xlws.FILTER(Speakers_in_Recordings!$A$2:$A$1502,Speakers_in_Recordings!$B$2:$B$1502=_xlfn.SINGLE(Spkrs[Speaker]),"N/A"))</f>
        <v>RSD_JOR_2024_Speaker25_banishment, RSD_JOR_2024_Speaker25_daxil, RSD_JOR_2024_refugee_centre_1, RSD_JOR_2024_refugee_centre_2</v>
      </c>
    </row>
    <row r="210" spans="1:10" ht="15" customHeight="1">
      <c r="A210" t="s">
        <v>1750</v>
      </c>
      <c r="B210" t="s">
        <v>1751</v>
      </c>
      <c r="C210" t="s">
        <v>1381</v>
      </c>
      <c r="E210" t="s">
        <v>1400</v>
      </c>
      <c r="H210" t="s">
        <v>1644</v>
      </c>
      <c r="I210" t="s">
        <v>1752</v>
      </c>
      <c r="J210" s="9" t="str" cm="1">
        <f t="array" ref="J210">_xlfn.TEXTJOIN(", ",TRUE(),_xlfn._xlws.FILTER(Speakers_in_Recordings!$A$2:$A$1502,Speakers_in_Recordings!$B$2:$B$1502=_xlfn.SINGLE(Spkrs[Speaker]),"N/A"))</f>
        <v>RSD_JOR_2024_Speaker25_coffeetraditions, RSD_JOR_2024_Speaker25_guestreception, RSD_JOR_2024_Speaker25_tribal_law, RSD_JOR_2024_Speaker25_banishment, RSD_JOR_2024_Speaker25_daxil, RSD_JOR_2024_refugee_centre_1, RSD_JOR_2024_refugee_centre_2</v>
      </c>
    </row>
    <row r="211" spans="1:10" ht="15" customHeight="1">
      <c r="A211" t="s">
        <v>1753</v>
      </c>
      <c r="B211" s="149" t="s">
        <v>1691</v>
      </c>
      <c r="C211" t="s">
        <v>1374</v>
      </c>
      <c r="E211" t="s">
        <v>1384</v>
      </c>
      <c r="H211" t="s">
        <v>1644</v>
      </c>
      <c r="I211" t="s">
        <v>1754</v>
      </c>
      <c r="J211" s="9" t="str" cm="1">
        <f t="array" ref="J211">_xlfn.TEXTJOIN(", ",TRUE(),_xlfn._xlws.FILTER(Speakers_in_Recordings!$A$2:$A$1502,Speakers_in_Recordings!$B$2:$B$1502=_xlfn.SINGLE(Spkrs[Speaker]),"N/A"))</f>
        <v>SALMAN_JOR_2024_ajloun_culture_house</v>
      </c>
    </row>
    <row r="212" spans="1:10" ht="15" customHeight="1">
      <c r="A212" t="s">
        <v>1755</v>
      </c>
      <c r="B212" t="s">
        <v>1691</v>
      </c>
      <c r="C212" t="s">
        <v>1381</v>
      </c>
      <c r="E212" t="s">
        <v>1390</v>
      </c>
      <c r="H212" t="s">
        <v>1644</v>
      </c>
      <c r="I212" t="s">
        <v>1756</v>
      </c>
      <c r="J212" s="9" t="str" cm="1">
        <f t="array" ref="J212">_xlfn.TEXTJOIN(", ",TRUE(),_xlfn._xlws.FILTER(Speakers_in_Recordings!$A$2:$A$1502,Speakers_in_Recordings!$B$2:$B$1502=_xlfn.SINGLE(Spkrs[Speaker]),"N/A"))</f>
        <v>HWETAT_JOR_2024_Speaker1_history_hwetat_rashayda_1, HWETAT_JOR_2024_Speaker1_history_hwetat_rashayda_2, HWETAT_JOR_2024_Speaker1_language_information_and_questionnaire, HWETAT_JOR_2024_Speaker1_language_information_and_questionnaire_2, HWETAT_JOR_2024_Speaker1_wedding_traditions</v>
      </c>
    </row>
    <row r="213" spans="1:10" ht="15" customHeight="1">
      <c r="A213" t="s">
        <v>1757</v>
      </c>
      <c r="B213" s="174" t="s">
        <v>1387</v>
      </c>
      <c r="C213" t="s">
        <v>1381</v>
      </c>
      <c r="E213" t="s">
        <v>1397</v>
      </c>
      <c r="H213" t="s">
        <v>1644</v>
      </c>
      <c r="I213" t="s">
        <v>1758</v>
      </c>
      <c r="J213" s="9" t="str" cm="1">
        <f t="array" ref="J213">_xlfn.TEXTJOIN(", ",TRUE(),_xlfn._xlws.FILTER(Speakers_in_Recordings!$A$2:$A$1502,Speakers_in_Recordings!$B$2:$B$1502=_xlfn.SINGLE(Spkrs[Speaker]),"N/A"))</f>
        <v>HWETAT_JOR_2024_Speaker1_history_hwetat_rashayda_1, HWETAT_JOR_2024_Speaker1_history_hwetat_rashayda_2, HWETAT_JOR_2024_Speaker1_language_information_and_questionnaire, HWETAT_JOR_2024_Speaker1_language_information_and_questionnaire_2, HWETAT_JOR_2024_Speaker1_wedding_traditions</v>
      </c>
    </row>
    <row r="214" spans="1:10" ht="15" customHeight="1">
      <c r="A214" t="s">
        <v>1759</v>
      </c>
      <c r="B214" t="s">
        <v>1691</v>
      </c>
      <c r="C214" t="s">
        <v>1381</v>
      </c>
      <c r="E214" t="s">
        <v>1400</v>
      </c>
      <c r="H214" t="s">
        <v>1644</v>
      </c>
      <c r="I214" t="s">
        <v>1760</v>
      </c>
      <c r="J214" s="9" t="str" cm="1">
        <f t="array" ref="J214">_xlfn.TEXTJOIN(", ",TRUE(),_xlfn._xlws.FILTER(Speakers_in_Recordings!$A$2:$A$1502,Speakers_in_Recordings!$B$2:$B$1502=_xlfn.SINGLE(Spkrs[Speaker]),"N/A"))</f>
        <v>HWETAT_JOR_2024_Speaker2_1, HWETAT_JOR_2024_Speaker2_2, HWETAT_JOR_2024_Speaker2_3, HWETAT_JOR_2024_Speaker2_4, HWETAT_JOR_2024_Speaker2_5</v>
      </c>
    </row>
    <row r="215" spans="1:10" ht="15" customHeight="1">
      <c r="A215" t="s">
        <v>1761</v>
      </c>
      <c r="B215" s="149" t="s">
        <v>1373</v>
      </c>
      <c r="C215" t="s">
        <v>1381</v>
      </c>
      <c r="E215" t="s">
        <v>1397</v>
      </c>
      <c r="H215" t="s">
        <v>1644</v>
      </c>
      <c r="I215" t="s">
        <v>1762</v>
      </c>
      <c r="J215" s="9" t="str" cm="1">
        <f t="array" ref="J215">_xlfn.TEXTJOIN(", ",TRUE(),_xlfn._xlws.FILTER(Speakers_in_Recordings!$A$2:$A$1502,Speakers_in_Recordings!$B$2:$B$1502=_xlfn.SINGLE(Spkrs[Speaker]),"N/A"))</f>
        <v>HWETAT_JOR_2024_Speaker4_2, HWETAT_JOR_2024_Speaker4_3, HWETAT_JOR_2024_Speaker4_4, HWETAT_JOR_2024_Speaker4_5, HWETAT_JOR_2024_Speaker4_6, HWETAT_JOR_2024_Speaker4_7, HWETAT_JOR_2024_Speaker4_day2</v>
      </c>
    </row>
    <row r="216" spans="1:10" ht="15" customHeight="1">
      <c r="J216" s="9" t="str" cm="1">
        <f t="array" ref="J216">_xlfn.TEXTJOIN(", ",TRUE(),_xlfn._xlws.FILTER(Speakers_in_Recordings!$A$2:$A$1502,Speakers_in_Recordings!$B$2:$B$1502=_xlfn.SINGLE(Spkrs[Speaker]),"N/A"))</f>
        <v/>
      </c>
    </row>
    <row r="217" spans="1:10" ht="15" customHeight="1">
      <c r="A217" t="s">
        <v>1763</v>
      </c>
      <c r="B217" t="s">
        <v>1691</v>
      </c>
      <c r="C217" t="s">
        <v>1381</v>
      </c>
      <c r="E217" t="s">
        <v>1397</v>
      </c>
      <c r="H217" t="s">
        <v>1764</v>
      </c>
      <c r="J217" s="9" t="str" cm="1">
        <f t="array" ref="J217">_xlfn.TEXTJOIN(", ",TRUE(),_xlfn._xlws.FILTER(Speakers_in_Recordings!$A$2:$A$1502,Speakers_in_Recordings!$B$2:$B$1502=_xlfn.SINGLE(Spkrs[Speaker]),"N/A"))</f>
        <v>SUD_2023_Speaker1_qasida_1, SUD_2023_Speaker1_qasida_2</v>
      </c>
    </row>
    <row r="218" spans="1:10" ht="15" customHeight="1">
      <c r="A218" t="s">
        <v>1765</v>
      </c>
      <c r="B218" t="s">
        <v>1691</v>
      </c>
      <c r="C218" t="s">
        <v>1381</v>
      </c>
      <c r="E218" t="s">
        <v>1676</v>
      </c>
      <c r="H218" t="s">
        <v>1764</v>
      </c>
      <c r="J218" s="9" t="str" cm="1">
        <f t="array" ref="J218">_xlfn.TEXTJOIN(", ",TRUE(),_xlfn._xlws.FILTER(Speakers_in_Recordings!$A$2:$A$1502,Speakers_in_Recordings!$B$2:$B$1502=_xlfn.SINGLE(Spkrs[Speaker]),"N/A"))</f>
        <v>SUD_2023_Speaker2_qasida</v>
      </c>
    </row>
    <row r="219" spans="1:10" ht="15" customHeight="1">
      <c r="A219" t="s">
        <v>1766</v>
      </c>
      <c r="B219" t="s">
        <v>1691</v>
      </c>
      <c r="C219" t="s">
        <v>1381</v>
      </c>
      <c r="E219" t="s">
        <v>1676</v>
      </c>
      <c r="H219" t="s">
        <v>1764</v>
      </c>
      <c r="I219" t="s">
        <v>1767</v>
      </c>
      <c r="J219" s="9" t="str" cm="1">
        <f t="array" ref="J219">_xlfn.TEXTJOIN(", ",TRUE(),_xlfn._xlws.FILTER(Speakers_in_Recordings!$A$2:$A$1502,Speakers_in_Recordings!$B$2:$B$1502=_xlfn.SINGLE(Spkrs[Speaker]),"N/A"))</f>
        <v>SUD_2023_Speaker3_phone call</v>
      </c>
    </row>
    <row r="220" spans="1:10" ht="15" customHeight="1">
      <c r="A220" t="s">
        <v>1768</v>
      </c>
      <c r="B220" t="s">
        <v>1691</v>
      </c>
      <c r="C220" t="s">
        <v>1381</v>
      </c>
      <c r="E220" t="s">
        <v>1400</v>
      </c>
      <c r="H220" t="s">
        <v>1764</v>
      </c>
      <c r="J220" s="9" t="str" cm="1">
        <f t="array" ref="J220">_xlfn.TEXTJOIN(", ",TRUE(),_xlfn._xlws.FILTER(Speakers_in_Recordings!$A$2:$A$1502,Speakers_in_Recordings!$B$2:$B$1502=_xlfn.SINGLE(Spkrs[Speaker]),"N/A"))</f>
        <v>SUD_2023_Speaker4_numbers, SUD_2023_Speaker4_verbs_1, SUD_2023_Speaker4_verbs_2</v>
      </c>
    </row>
    <row r="221" spans="1:10" ht="15" customHeight="1">
      <c r="A221" t="s">
        <v>1769</v>
      </c>
      <c r="B221" t="s">
        <v>1691</v>
      </c>
      <c r="C221" t="s">
        <v>1381</v>
      </c>
      <c r="E221" t="s">
        <v>1397</v>
      </c>
      <c r="H221" t="s">
        <v>1764</v>
      </c>
      <c r="J221" s="9" t="str" cm="1">
        <f t="array" ref="J221">_xlfn.TEXTJOIN(", ",TRUE(),_xlfn._xlws.FILTER(Speakers_in_Recordings!$A$2:$A$1502,Speakers_in_Recordings!$B$2:$B$1502=_xlfn.SINGLE(Spkrs[Speaker]),"N/A"))</f>
        <v>SUD_2023_Speaker5_history</v>
      </c>
    </row>
    <row r="222" spans="1:10" ht="15" customHeight="1">
      <c r="J222" s="9" t="str" cm="1">
        <f t="array" ref="J222">_xlfn.TEXTJOIN(", ",TRUE(),_xlfn._xlws.FILTER(Speakers_in_Recordings!$A$2:$A$1502,Speakers_in_Recordings!$B$2:$B$1502=_xlfn.SINGLE(Spkrs[Speaker]),"N/A"))</f>
        <v/>
      </c>
    </row>
    <row r="223" spans="1:10" ht="15" customHeight="1">
      <c r="J223" s="9" t="str" cm="1">
        <f t="array" ref="J223">_xlfn.TEXTJOIN(", ",TRUE(),_xlfn._xlws.FILTER(Speakers_in_Recordings!$A$2:$A$1502,Speakers_in_Recordings!$B$2:$B$1502=_xlfn.SINGLE(Spkrs[Speaker]),"N/A"))</f>
        <v/>
      </c>
    </row>
    <row r="224" spans="1:10" ht="15" customHeight="1">
      <c r="J224" s="9" t="str" cm="1">
        <f t="array" ref="J224">_xlfn.TEXTJOIN(", ",TRUE(),_xlfn._xlws.FILTER(Speakers_in_Recordings!$A$2:$A$1502,Speakers_in_Recordings!$B$2:$B$1502=_xlfn.SINGLE(Spkrs[Speaker]),"N/A"))</f>
        <v/>
      </c>
    </row>
    <row r="225" spans="1:10" ht="15" customHeight="1">
      <c r="J225" s="9" t="str" cm="1">
        <f t="array" ref="J225">_xlfn.TEXTJOIN(", ",TRUE(),_xlfn._xlws.FILTER(Speakers_in_Recordings!$A$2:$A$1502,Speakers_in_Recordings!$B$2:$B$1502=_xlfn.SINGLE(Spkrs[Speaker]),"N/A"))</f>
        <v/>
      </c>
    </row>
    <row r="226" spans="1:10" ht="15" customHeight="1">
      <c r="A226" s="106"/>
      <c r="B226" s="106"/>
      <c r="D226" s="106"/>
      <c r="E226" s="106"/>
      <c r="F226" s="106"/>
      <c r="H226" s="106"/>
      <c r="I226" s="106"/>
    </row>
    <row r="227" spans="1:10" ht="15" customHeight="1">
      <c r="A227" s="111"/>
      <c r="B227" s="111"/>
      <c r="C227" s="112"/>
      <c r="D227" s="113"/>
      <c r="E227" s="113"/>
      <c r="F227" s="113"/>
      <c r="G227" s="112"/>
      <c r="H227" s="113"/>
      <c r="I227" s="113"/>
      <c r="J227" s="114"/>
    </row>
    <row r="228" spans="1:10" ht="15" customHeight="1">
      <c r="A228" s="111"/>
      <c r="B228" s="111"/>
      <c r="C228" s="112"/>
      <c r="D228" s="113"/>
      <c r="E228" s="113"/>
      <c r="F228" s="113"/>
      <c r="G228" s="112"/>
      <c r="H228" s="113"/>
      <c r="I228" s="113"/>
      <c r="J228" s="114"/>
    </row>
    <row r="229" spans="1:10" ht="15" customHeight="1">
      <c r="A229" s="111"/>
      <c r="B229" s="111"/>
      <c r="C229" s="112"/>
      <c r="D229" s="113"/>
      <c r="E229" s="113"/>
      <c r="F229" s="113"/>
      <c r="G229" s="112"/>
      <c r="H229" s="113"/>
      <c r="I229" s="113"/>
      <c r="J229" s="114"/>
    </row>
    <row r="230" spans="1:10" ht="15" customHeight="1">
      <c r="A230" s="111"/>
      <c r="B230" s="111"/>
      <c r="C230" s="112"/>
      <c r="D230" s="113"/>
      <c r="E230" s="113"/>
      <c r="F230" s="113"/>
      <c r="G230" s="112"/>
      <c r="H230" s="113"/>
      <c r="I230" s="113"/>
      <c r="J230" s="114"/>
    </row>
    <row r="231" spans="1:10" ht="15" customHeight="1">
      <c r="A231" s="111"/>
      <c r="B231" s="111"/>
      <c r="C231" s="112"/>
      <c r="D231" s="113"/>
      <c r="E231" s="113"/>
      <c r="F231" s="113"/>
      <c r="G231" s="112"/>
      <c r="H231" s="113"/>
      <c r="I231" s="113"/>
      <c r="J231" s="114"/>
    </row>
    <row r="232" spans="1:10" ht="15" customHeight="1">
      <c r="A232" s="111"/>
      <c r="B232" s="111"/>
      <c r="C232" s="112"/>
      <c r="D232" s="113"/>
      <c r="E232" s="113"/>
      <c r="F232" s="113"/>
      <c r="G232" s="112"/>
      <c r="H232" s="113"/>
      <c r="I232" s="113"/>
      <c r="J232" s="114"/>
    </row>
    <row r="233" spans="1:10" ht="15" customHeight="1">
      <c r="A233" s="111"/>
      <c r="B233" s="111"/>
      <c r="C233" s="112"/>
      <c r="D233" s="113"/>
      <c r="E233" s="113"/>
      <c r="F233" s="113"/>
      <c r="G233" s="112"/>
      <c r="H233" s="113"/>
      <c r="I233" s="113"/>
      <c r="J233" s="114"/>
    </row>
    <row r="234" spans="1:10" ht="15" customHeight="1">
      <c r="A234" s="111"/>
      <c r="B234" s="111"/>
      <c r="C234" s="112"/>
      <c r="D234" s="113"/>
      <c r="E234" s="113"/>
      <c r="F234" s="113"/>
      <c r="G234" s="112"/>
      <c r="H234" s="113"/>
      <c r="I234" s="113"/>
      <c r="J234" s="114"/>
    </row>
    <row r="235" spans="1:10" ht="15" customHeight="1">
      <c r="A235" s="111"/>
      <c r="B235" s="111"/>
      <c r="C235" s="112"/>
      <c r="D235" s="113"/>
      <c r="E235" s="113"/>
      <c r="F235" s="113"/>
      <c r="G235" s="112"/>
      <c r="H235" s="113"/>
      <c r="I235" s="113"/>
      <c r="J235" s="114"/>
    </row>
    <row r="236" spans="1:10" ht="15" customHeight="1">
      <c r="A236" s="111"/>
      <c r="B236" s="111"/>
      <c r="C236" s="112"/>
      <c r="D236" s="113"/>
      <c r="E236" s="113"/>
      <c r="F236" s="113"/>
      <c r="G236" s="112"/>
      <c r="H236" s="113"/>
      <c r="I236" s="113"/>
      <c r="J236" s="114"/>
    </row>
    <row r="237" spans="1:10" ht="15" customHeight="1">
      <c r="A237" s="111"/>
      <c r="B237" s="111"/>
      <c r="C237" s="112"/>
      <c r="D237" s="113"/>
      <c r="E237" s="113"/>
      <c r="F237" s="113"/>
      <c r="G237" s="112"/>
      <c r="H237" s="113"/>
      <c r="I237" s="113"/>
      <c r="J237" s="114"/>
    </row>
    <row r="238" spans="1:10" ht="15" customHeight="1">
      <c r="A238" s="111"/>
      <c r="B238" s="111"/>
      <c r="C238" s="112"/>
      <c r="D238" s="113"/>
      <c r="E238" s="113"/>
      <c r="F238" s="113"/>
      <c r="G238" s="112"/>
      <c r="H238" s="113"/>
      <c r="I238" s="113"/>
      <c r="J238" s="114"/>
    </row>
    <row r="239" spans="1:10" ht="15" customHeight="1">
      <c r="A239" s="111"/>
      <c r="B239" s="111"/>
      <c r="C239" s="112"/>
      <c r="D239" s="113"/>
      <c r="E239" s="113"/>
      <c r="F239" s="113"/>
      <c r="G239" s="112"/>
      <c r="H239" s="113"/>
      <c r="I239" s="113"/>
      <c r="J239" s="114"/>
    </row>
    <row r="240" spans="1:10" ht="15" customHeight="1">
      <c r="A240" s="111"/>
      <c r="B240" s="111"/>
      <c r="C240" s="112"/>
      <c r="D240" s="113"/>
      <c r="E240" s="113"/>
      <c r="F240" s="113"/>
      <c r="G240" s="112"/>
      <c r="H240" s="113"/>
      <c r="I240" s="113"/>
      <c r="J240" s="114"/>
    </row>
    <row r="241" spans="1:10" ht="15" customHeight="1">
      <c r="A241" s="111"/>
      <c r="B241" s="111"/>
      <c r="C241" s="112"/>
      <c r="D241" s="113"/>
      <c r="E241" s="113"/>
      <c r="F241" s="113"/>
      <c r="G241" s="112"/>
      <c r="H241" s="113"/>
      <c r="I241" s="113"/>
      <c r="J241" s="114"/>
    </row>
  </sheetData>
  <conditionalFormatting sqref="H107:H150 I121 H171:H178 H206:H225 H2:H94">
    <cfRule type="containsBlanks" dxfId="10" priority="1">
      <formula>LEN(TRIM(H2))=0</formula>
    </cfRule>
  </conditionalFormatting>
  <dataValidations count="2">
    <dataValidation type="list" allowBlank="1" showInputMessage="1" showErrorMessage="1" sqref="C152:C241 C96:C150 C2:C92" xr:uid="{00000000-0002-0000-0200-000000000000}">
      <formula1>"M,F,D"</formula1>
    </dataValidation>
    <dataValidation type="list" allowBlank="1" showInputMessage="1" showErrorMessage="1" sqref="H107:H150 H171:H178 I121 H206:H225 H2:H94" xr:uid="{950885DA-64CC-44EC-8A41-D0212EE79D7B}">
      <formula1>INDIRECT("Plcs[PlaceName]")</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B8361-4AA5-4441-A593-03B56BED3520}">
  <dimension ref="A1:J19"/>
  <sheetViews>
    <sheetView workbookViewId="0">
      <selection activeCell="F11" sqref="F11"/>
    </sheetView>
  </sheetViews>
  <sheetFormatPr defaultColWidth="8.7109375" defaultRowHeight="14.45"/>
  <cols>
    <col min="1" max="1" width="61.42578125" bestFit="1" customWidth="1"/>
    <col min="2" max="2" width="28.140625" hidden="1" customWidth="1"/>
    <col min="3" max="3" width="12.140625" hidden="1" customWidth="1"/>
    <col min="4" max="4" width="100.5703125" hidden="1" customWidth="1"/>
    <col min="5" max="5" width="18.42578125" customWidth="1"/>
    <col min="6" max="6" width="17" customWidth="1"/>
    <col min="7" max="7" width="17.7109375" customWidth="1"/>
    <col min="8" max="8" width="14.28515625" bestFit="1" customWidth="1"/>
    <col min="9" max="9" width="11.140625" bestFit="1" customWidth="1"/>
  </cols>
  <sheetData>
    <row r="1" spans="1:8">
      <c r="A1" t="s">
        <v>2</v>
      </c>
      <c r="B1" t="s">
        <v>1770</v>
      </c>
      <c r="C1" t="s">
        <v>1771</v>
      </c>
      <c r="D1" t="s">
        <v>1365</v>
      </c>
      <c r="E1" t="s">
        <v>1772</v>
      </c>
      <c r="F1" t="s">
        <v>1773</v>
      </c>
      <c r="G1" t="s">
        <v>1774</v>
      </c>
    </row>
    <row r="2" spans="1:8">
      <c r="A2" t="s">
        <v>1775</v>
      </c>
      <c r="B2" t="s">
        <v>1776</v>
      </c>
      <c r="C2" t="s">
        <v>1377</v>
      </c>
      <c r="E2" t="s">
        <v>1777</v>
      </c>
      <c r="F2" s="159"/>
      <c r="G2" s="159"/>
    </row>
    <row r="3" spans="1:8">
      <c r="A3" t="s">
        <v>831</v>
      </c>
      <c r="B3" t="s">
        <v>1778</v>
      </c>
      <c r="C3" t="s">
        <v>1779</v>
      </c>
      <c r="E3" t="s">
        <v>1777</v>
      </c>
      <c r="F3" s="159">
        <v>45057</v>
      </c>
      <c r="G3" s="159">
        <v>45077</v>
      </c>
    </row>
    <row r="4" spans="1:8">
      <c r="A4" t="s">
        <v>868</v>
      </c>
      <c r="B4" t="s">
        <v>1780</v>
      </c>
      <c r="C4" t="s">
        <v>1779</v>
      </c>
      <c r="E4" t="s">
        <v>1777</v>
      </c>
      <c r="F4" s="159">
        <v>44614</v>
      </c>
      <c r="G4" s="159">
        <v>44638</v>
      </c>
    </row>
    <row r="5" spans="1:8">
      <c r="A5" t="s">
        <v>983</v>
      </c>
      <c r="B5" t="s">
        <v>1781</v>
      </c>
      <c r="C5" t="s">
        <v>1779</v>
      </c>
      <c r="E5" t="s">
        <v>1777</v>
      </c>
      <c r="F5" s="159">
        <v>44614</v>
      </c>
      <c r="G5" s="159">
        <v>44638</v>
      </c>
    </row>
    <row r="6" spans="1:8">
      <c r="A6" t="s">
        <v>1782</v>
      </c>
      <c r="B6" t="s">
        <v>1783</v>
      </c>
      <c r="C6" t="s">
        <v>1644</v>
      </c>
      <c r="E6" t="s">
        <v>1777</v>
      </c>
      <c r="F6" s="159">
        <v>44682</v>
      </c>
      <c r="G6" s="159">
        <v>44712</v>
      </c>
    </row>
    <row r="7" spans="1:8">
      <c r="A7" t="s">
        <v>1189</v>
      </c>
      <c r="B7" t="s">
        <v>1784</v>
      </c>
      <c r="C7" t="s">
        <v>1191</v>
      </c>
      <c r="E7" t="s">
        <v>1777</v>
      </c>
      <c r="F7" s="159">
        <v>44621</v>
      </c>
      <c r="G7" s="159">
        <v>44651</v>
      </c>
    </row>
    <row r="8" spans="1:8">
      <c r="A8" t="s">
        <v>1231</v>
      </c>
      <c r="B8" t="s">
        <v>1785</v>
      </c>
      <c r="C8" t="s">
        <v>1764</v>
      </c>
      <c r="D8" t="s">
        <v>1786</v>
      </c>
      <c r="E8" t="s">
        <v>1777</v>
      </c>
      <c r="F8" s="159">
        <v>44966</v>
      </c>
      <c r="G8" s="159">
        <v>45008</v>
      </c>
    </row>
    <row r="9" spans="1:8">
      <c r="A9" t="s">
        <v>1787</v>
      </c>
      <c r="B9" t="s">
        <v>1788</v>
      </c>
      <c r="C9" t="s">
        <v>1764</v>
      </c>
      <c r="D9" t="s">
        <v>1789</v>
      </c>
      <c r="E9" t="s">
        <v>1777</v>
      </c>
      <c r="F9" s="159">
        <v>27030</v>
      </c>
      <c r="G9" s="159">
        <v>28855</v>
      </c>
    </row>
    <row r="10" spans="1:8">
      <c r="A10" t="s">
        <v>1790</v>
      </c>
      <c r="B10" t="s">
        <v>1791</v>
      </c>
      <c r="C10" t="s">
        <v>1792</v>
      </c>
      <c r="E10" t="s">
        <v>1777</v>
      </c>
      <c r="F10" s="159">
        <v>37469</v>
      </c>
      <c r="G10" s="159">
        <v>44895</v>
      </c>
    </row>
    <row r="11" spans="1:8">
      <c r="A11" t="s">
        <v>1793</v>
      </c>
      <c r="B11" t="s">
        <v>1794</v>
      </c>
      <c r="C11" t="s">
        <v>1644</v>
      </c>
      <c r="E11" t="s">
        <v>1777</v>
      </c>
      <c r="F11" s="159">
        <v>44430</v>
      </c>
      <c r="G11" s="159">
        <v>44474</v>
      </c>
    </row>
    <row r="12" spans="1:8">
      <c r="A12" t="s">
        <v>1795</v>
      </c>
      <c r="B12" t="s">
        <v>1796</v>
      </c>
      <c r="C12" t="s">
        <v>1644</v>
      </c>
      <c r="E12" t="s">
        <v>1777</v>
      </c>
      <c r="F12" s="159">
        <v>44698</v>
      </c>
      <c r="G12" s="159">
        <v>44709</v>
      </c>
    </row>
    <row r="13" spans="1:8">
      <c r="A13" t="s">
        <v>1133</v>
      </c>
      <c r="B13" t="s">
        <v>1797</v>
      </c>
      <c r="C13" t="s">
        <v>1644</v>
      </c>
      <c r="E13" t="s">
        <v>1777</v>
      </c>
      <c r="F13" s="160">
        <v>45173</v>
      </c>
      <c r="G13" s="161">
        <v>45207</v>
      </c>
    </row>
    <row r="14" spans="1:8">
      <c r="A14" t="s">
        <v>29</v>
      </c>
      <c r="B14" t="s">
        <v>1798</v>
      </c>
      <c r="C14" t="s">
        <v>1377</v>
      </c>
      <c r="D14" t="s">
        <v>1799</v>
      </c>
      <c r="E14" t="s">
        <v>1777</v>
      </c>
      <c r="F14" s="160">
        <v>44619</v>
      </c>
      <c r="G14" s="161">
        <v>44650</v>
      </c>
    </row>
    <row r="15" spans="1:8" s="63" customFormat="1">
      <c r="A15" t="s">
        <v>66</v>
      </c>
      <c r="B15" t="s">
        <v>1800</v>
      </c>
      <c r="C15" t="s">
        <v>1463</v>
      </c>
      <c r="D15" t="s">
        <v>1801</v>
      </c>
      <c r="E15" t="s">
        <v>1777</v>
      </c>
      <c r="F15" s="160">
        <v>44688</v>
      </c>
      <c r="G15" s="161">
        <v>44719</v>
      </c>
      <c r="H15" s="12"/>
    </row>
    <row r="16" spans="1:8" s="63" customFormat="1">
      <c r="A16" t="s">
        <v>433</v>
      </c>
      <c r="B16" t="s">
        <v>1802</v>
      </c>
      <c r="C16" t="s">
        <v>1644</v>
      </c>
      <c r="D16"/>
      <c r="E16" t="s">
        <v>1777</v>
      </c>
      <c r="F16" s="159">
        <v>45406</v>
      </c>
      <c r="G16" s="159">
        <v>45427</v>
      </c>
      <c r="H16" s="12"/>
    </row>
    <row r="17" spans="1:10" s="63" customFormat="1">
      <c r="A17" t="s">
        <v>688</v>
      </c>
      <c r="B17" t="s">
        <v>1803</v>
      </c>
      <c r="C17" t="s">
        <v>1377</v>
      </c>
      <c r="D17"/>
      <c r="E17" t="s">
        <v>1777</v>
      </c>
      <c r="F17" s="159">
        <v>45684</v>
      </c>
      <c r="G17" s="159">
        <v>45717</v>
      </c>
    </row>
    <row r="18" spans="1:10" s="63" customFormat="1">
      <c r="A18"/>
      <c r="B18"/>
      <c r="C18"/>
      <c r="D18"/>
      <c r="E18"/>
      <c r="F18"/>
      <c r="G18"/>
      <c r="H18" s="12" t="s">
        <v>1344</v>
      </c>
    </row>
    <row r="19" spans="1:10">
      <c r="H19" s="12" t="s">
        <v>1804</v>
      </c>
      <c r="I19" s="63"/>
      <c r="J19" s="63"/>
    </row>
  </sheetData>
  <phoneticPr fontId="1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08"/>
  <sheetViews>
    <sheetView topLeftCell="A908" workbookViewId="0">
      <selection activeCell="B572" sqref="B572"/>
    </sheetView>
  </sheetViews>
  <sheetFormatPr defaultColWidth="8.7109375" defaultRowHeight="14.45"/>
  <cols>
    <col min="1" max="1" width="77" customWidth="1"/>
    <col min="2" max="2" width="51.140625" customWidth="1"/>
    <col min="4" max="4" width="52.42578125" customWidth="1"/>
  </cols>
  <sheetData>
    <row r="1" spans="1:4">
      <c r="A1" s="65" t="s">
        <v>1805</v>
      </c>
      <c r="B1" s="66" t="s">
        <v>3</v>
      </c>
      <c r="D1" t="s">
        <v>1806</v>
      </c>
    </row>
    <row r="2" spans="1:4">
      <c r="A2" s="67" t="s">
        <v>27</v>
      </c>
      <c r="B2" s="68" t="s">
        <v>1372</v>
      </c>
      <c r="D2" t="s">
        <v>1807</v>
      </c>
    </row>
    <row r="3" spans="1:4">
      <c r="A3" s="67" t="s">
        <v>27</v>
      </c>
      <c r="B3" s="68" t="s">
        <v>1402</v>
      </c>
    </row>
    <row r="4" spans="1:4">
      <c r="A4" s="67" t="s">
        <v>44</v>
      </c>
      <c r="B4" s="68" t="s">
        <v>1380</v>
      </c>
      <c r="C4" t="s">
        <v>1808</v>
      </c>
    </row>
    <row r="5" spans="1:4" ht="15">
      <c r="A5" s="67" t="s">
        <v>44</v>
      </c>
      <c r="B5" s="68" t="s">
        <v>1389</v>
      </c>
    </row>
    <row r="6" spans="1:4" ht="15">
      <c r="A6" s="67" t="s">
        <v>44</v>
      </c>
      <c r="B6" s="68" t="s">
        <v>1386</v>
      </c>
    </row>
    <row r="7" spans="1:4">
      <c r="A7" s="67" t="s">
        <v>48</v>
      </c>
      <c r="B7" s="68" t="s">
        <v>1380</v>
      </c>
    </row>
    <row r="8" spans="1:4">
      <c r="A8" s="67" t="s">
        <v>51</v>
      </c>
      <c r="B8" s="68" t="s">
        <v>1380</v>
      </c>
    </row>
    <row r="9" spans="1:4">
      <c r="A9" s="67" t="s">
        <v>51</v>
      </c>
      <c r="B9" s="68" t="s">
        <v>1402</v>
      </c>
    </row>
    <row r="10" spans="1:4">
      <c r="A10" s="67" t="s">
        <v>54</v>
      </c>
      <c r="B10" s="68" t="s">
        <v>1380</v>
      </c>
    </row>
    <row r="11" spans="1:4">
      <c r="A11" s="67" t="s">
        <v>54</v>
      </c>
      <c r="B11" s="68" t="s">
        <v>1402</v>
      </c>
    </row>
    <row r="12" spans="1:4">
      <c r="A12" s="67" t="s">
        <v>54</v>
      </c>
      <c r="B12" s="68" t="s">
        <v>1389</v>
      </c>
    </row>
    <row r="13" spans="1:4">
      <c r="A13" s="67" t="s">
        <v>54</v>
      </c>
      <c r="B13" s="68" t="s">
        <v>1386</v>
      </c>
    </row>
    <row r="14" spans="1:4">
      <c r="A14" s="67" t="s">
        <v>57</v>
      </c>
      <c r="B14" s="68" t="s">
        <v>1380</v>
      </c>
    </row>
    <row r="15" spans="1:4">
      <c r="A15" s="67" t="s">
        <v>57</v>
      </c>
      <c r="B15" s="68" t="s">
        <v>1402</v>
      </c>
    </row>
    <row r="16" spans="1:4">
      <c r="A16" s="67" t="s">
        <v>57</v>
      </c>
      <c r="B16" s="68" t="s">
        <v>1389</v>
      </c>
    </row>
    <row r="17" spans="1:2">
      <c r="A17" s="67" t="s">
        <v>57</v>
      </c>
      <c r="B17" s="68" t="s">
        <v>1386</v>
      </c>
    </row>
    <row r="18" spans="1:2">
      <c r="A18" s="67" t="s">
        <v>60</v>
      </c>
      <c r="B18" s="68" t="s">
        <v>1396</v>
      </c>
    </row>
    <row r="19" spans="1:2">
      <c r="A19" s="67" t="s">
        <v>60</v>
      </c>
      <c r="B19" s="68" t="s">
        <v>1402</v>
      </c>
    </row>
    <row r="20" spans="1:2">
      <c r="A20" s="67" t="s">
        <v>64</v>
      </c>
      <c r="B20" s="68" t="s">
        <v>1462</v>
      </c>
    </row>
    <row r="21" spans="1:2">
      <c r="A21" s="67" t="s">
        <v>64</v>
      </c>
      <c r="B21" s="68" t="s">
        <v>1468</v>
      </c>
    </row>
    <row r="22" spans="1:2">
      <c r="A22" s="67" t="s">
        <v>64</v>
      </c>
      <c r="B22" s="68" t="s">
        <v>1483</v>
      </c>
    </row>
    <row r="23" spans="1:2">
      <c r="A23" s="67" t="s">
        <v>65</v>
      </c>
      <c r="B23" s="68" t="s">
        <v>1462</v>
      </c>
    </row>
    <row r="24" spans="1:2">
      <c r="A24" s="67" t="s">
        <v>65</v>
      </c>
      <c r="B24" s="68" t="s">
        <v>1483</v>
      </c>
    </row>
    <row r="25" spans="1:2">
      <c r="A25" s="67" t="s">
        <v>71</v>
      </c>
      <c r="B25" s="68" t="s">
        <v>1462</v>
      </c>
    </row>
    <row r="26" spans="1:2">
      <c r="A26" s="67" t="s">
        <v>71</v>
      </c>
      <c r="B26" s="68" t="s">
        <v>1483</v>
      </c>
    </row>
    <row r="27" spans="1:2">
      <c r="A27" s="67" t="s">
        <v>74</v>
      </c>
      <c r="B27" s="68" t="s">
        <v>1462</v>
      </c>
    </row>
    <row r="28" spans="1:2">
      <c r="A28" s="67" t="s">
        <v>74</v>
      </c>
      <c r="B28" s="68" t="s">
        <v>1483</v>
      </c>
    </row>
    <row r="29" spans="1:2">
      <c r="A29" s="67" t="s">
        <v>77</v>
      </c>
      <c r="B29" s="68" t="s">
        <v>1462</v>
      </c>
    </row>
    <row r="30" spans="1:2">
      <c r="A30" s="67" t="s">
        <v>77</v>
      </c>
      <c r="B30" s="68" t="s">
        <v>1468</v>
      </c>
    </row>
    <row r="31" spans="1:2">
      <c r="A31" s="67" t="s">
        <v>77</v>
      </c>
      <c r="B31" s="68" t="s">
        <v>1483</v>
      </c>
    </row>
    <row r="32" spans="1:2">
      <c r="A32" s="67" t="s">
        <v>82</v>
      </c>
      <c r="B32" s="68" t="s">
        <v>1462</v>
      </c>
    </row>
    <row r="33" spans="1:2">
      <c r="A33" s="67" t="s">
        <v>82</v>
      </c>
      <c r="B33" s="68" t="s">
        <v>1483</v>
      </c>
    </row>
    <row r="34" spans="1:2">
      <c r="A34" s="67" t="s">
        <v>85</v>
      </c>
      <c r="B34" s="68" t="s">
        <v>1462</v>
      </c>
    </row>
    <row r="35" spans="1:2">
      <c r="A35" s="67" t="s">
        <v>85</v>
      </c>
      <c r="B35" s="68" t="s">
        <v>1483</v>
      </c>
    </row>
    <row r="36" spans="1:2">
      <c r="A36" s="67" t="s">
        <v>89</v>
      </c>
      <c r="B36" s="68" t="s">
        <v>1462</v>
      </c>
    </row>
    <row r="37" spans="1:2">
      <c r="A37" s="67" t="s">
        <v>89</v>
      </c>
      <c r="B37" s="68" t="s">
        <v>1483</v>
      </c>
    </row>
    <row r="38" spans="1:2">
      <c r="A38" s="67" t="s">
        <v>92</v>
      </c>
      <c r="B38" s="68" t="s">
        <v>1462</v>
      </c>
    </row>
    <row r="39" spans="1:2">
      <c r="A39" s="67" t="s">
        <v>92</v>
      </c>
      <c r="B39" s="68" t="s">
        <v>1468</v>
      </c>
    </row>
    <row r="40" spans="1:2">
      <c r="A40" s="67" t="s">
        <v>92</v>
      </c>
      <c r="B40" s="68" t="s">
        <v>1483</v>
      </c>
    </row>
    <row r="41" spans="1:2">
      <c r="A41" s="67" t="s">
        <v>95</v>
      </c>
      <c r="B41" s="68" t="s">
        <v>1462</v>
      </c>
    </row>
    <row r="42" spans="1:2">
      <c r="A42" s="67" t="s">
        <v>95</v>
      </c>
      <c r="B42" s="68" t="s">
        <v>1468</v>
      </c>
    </row>
    <row r="43" spans="1:2">
      <c r="A43" s="67" t="s">
        <v>95</v>
      </c>
      <c r="B43" s="68" t="s">
        <v>1483</v>
      </c>
    </row>
    <row r="44" spans="1:2">
      <c r="A44" s="67" t="s">
        <v>98</v>
      </c>
      <c r="B44" s="68" t="s">
        <v>1462</v>
      </c>
    </row>
    <row r="45" spans="1:2">
      <c r="A45" s="67" t="s">
        <v>98</v>
      </c>
      <c r="B45" s="68" t="s">
        <v>1468</v>
      </c>
    </row>
    <row r="46" spans="1:2">
      <c r="A46" s="67" t="s">
        <v>98</v>
      </c>
      <c r="B46" s="68" t="s">
        <v>1483</v>
      </c>
    </row>
    <row r="47" spans="1:2">
      <c r="A47" s="67" t="s">
        <v>101</v>
      </c>
      <c r="B47" s="68" t="s">
        <v>1462</v>
      </c>
    </row>
    <row r="48" spans="1:2">
      <c r="A48" s="67" t="s">
        <v>101</v>
      </c>
      <c r="B48" s="68" t="s">
        <v>1468</v>
      </c>
    </row>
    <row r="49" spans="1:2">
      <c r="A49" s="67" t="s">
        <v>101</v>
      </c>
      <c r="B49" s="68" t="s">
        <v>1483</v>
      </c>
    </row>
    <row r="50" spans="1:2">
      <c r="A50" s="67" t="s">
        <v>103</v>
      </c>
      <c r="B50" s="68" t="s">
        <v>1396</v>
      </c>
    </row>
    <row r="51" spans="1:2">
      <c r="A51" s="67" t="s">
        <v>103</v>
      </c>
      <c r="B51" s="68" t="s">
        <v>1402</v>
      </c>
    </row>
    <row r="52" spans="1:2">
      <c r="A52" s="67" t="s">
        <v>103</v>
      </c>
      <c r="B52" s="68" t="s">
        <v>1399</v>
      </c>
    </row>
    <row r="53" spans="1:2">
      <c r="A53" s="67" t="s">
        <v>104</v>
      </c>
      <c r="B53" s="68" t="s">
        <v>1396</v>
      </c>
    </row>
    <row r="54" spans="1:2">
      <c r="A54" s="67" t="s">
        <v>104</v>
      </c>
      <c r="B54" s="68" t="s">
        <v>1399</v>
      </c>
    </row>
    <row r="55" spans="1:2">
      <c r="A55" s="67" t="s">
        <v>104</v>
      </c>
      <c r="B55" s="68" t="s">
        <v>1402</v>
      </c>
    </row>
    <row r="56" spans="1:2">
      <c r="A56" s="67" t="s">
        <v>111</v>
      </c>
      <c r="B56" s="68" t="s">
        <v>1396</v>
      </c>
    </row>
    <row r="57" spans="1:2">
      <c r="A57" s="67" t="s">
        <v>111</v>
      </c>
      <c r="B57" s="68" t="s">
        <v>1402</v>
      </c>
    </row>
    <row r="58" spans="1:2">
      <c r="A58" s="67" t="s">
        <v>114</v>
      </c>
      <c r="B58" s="68" t="s">
        <v>1396</v>
      </c>
    </row>
    <row r="59" spans="1:2">
      <c r="A59" s="67" t="s">
        <v>114</v>
      </c>
      <c r="B59" s="68" t="s">
        <v>1399</v>
      </c>
    </row>
    <row r="60" spans="1:2">
      <c r="A60" s="67" t="s">
        <v>114</v>
      </c>
      <c r="B60" s="68" t="s">
        <v>1402</v>
      </c>
    </row>
    <row r="61" spans="1:2">
      <c r="A61" s="67" t="s">
        <v>117</v>
      </c>
      <c r="B61" s="68" t="s">
        <v>1396</v>
      </c>
    </row>
    <row r="62" spans="1:2">
      <c r="A62" s="67" t="s">
        <v>117</v>
      </c>
      <c r="B62" s="68" t="s">
        <v>1399</v>
      </c>
    </row>
    <row r="63" spans="1:2">
      <c r="A63" s="67" t="s">
        <v>117</v>
      </c>
      <c r="B63" s="68" t="s">
        <v>1402</v>
      </c>
    </row>
    <row r="64" spans="1:2">
      <c r="A64" s="67" t="s">
        <v>120</v>
      </c>
      <c r="B64" s="68" t="s">
        <v>1464</v>
      </c>
    </row>
    <row r="65" spans="1:2">
      <c r="A65" s="67" t="s">
        <v>120</v>
      </c>
      <c r="B65" s="68" t="s">
        <v>1465</v>
      </c>
    </row>
    <row r="66" spans="1:2">
      <c r="A66" s="67" t="s">
        <v>120</v>
      </c>
      <c r="B66" s="68" t="s">
        <v>1483</v>
      </c>
    </row>
    <row r="67" spans="1:2">
      <c r="A67" s="67" t="s">
        <v>121</v>
      </c>
      <c r="B67" s="68" t="s">
        <v>1464</v>
      </c>
    </row>
    <row r="68" spans="1:2">
      <c r="A68" s="67" t="s">
        <v>121</v>
      </c>
      <c r="B68" s="68" t="s">
        <v>1465</v>
      </c>
    </row>
    <row r="69" spans="1:2">
      <c r="A69" s="67" t="s">
        <v>121</v>
      </c>
      <c r="B69" s="68" t="s">
        <v>1483</v>
      </c>
    </row>
    <row r="70" spans="1:2">
      <c r="A70" s="67" t="s">
        <v>124</v>
      </c>
      <c r="B70" s="68" t="s">
        <v>1464</v>
      </c>
    </row>
    <row r="71" spans="1:2">
      <c r="A71" s="67" t="s">
        <v>124</v>
      </c>
      <c r="B71" s="68" t="s">
        <v>1465</v>
      </c>
    </row>
    <row r="72" spans="1:2">
      <c r="A72" s="67" t="s">
        <v>124</v>
      </c>
      <c r="B72" s="68" t="s">
        <v>1483</v>
      </c>
    </row>
    <row r="73" spans="1:2">
      <c r="A73" s="67" t="s">
        <v>127</v>
      </c>
      <c r="B73" s="68" t="s">
        <v>1464</v>
      </c>
    </row>
    <row r="74" spans="1:2">
      <c r="A74" s="67" t="s">
        <v>127</v>
      </c>
      <c r="B74" s="68" t="s">
        <v>1465</v>
      </c>
    </row>
    <row r="75" spans="1:2">
      <c r="A75" s="67" t="s">
        <v>127</v>
      </c>
      <c r="B75" s="68" t="s">
        <v>1483</v>
      </c>
    </row>
    <row r="76" spans="1:2">
      <c r="A76" s="67" t="s">
        <v>130</v>
      </c>
      <c r="B76" s="68" t="s">
        <v>1464</v>
      </c>
    </row>
    <row r="77" spans="1:2">
      <c r="A77" s="67" t="s">
        <v>130</v>
      </c>
      <c r="B77" s="68" t="s">
        <v>1465</v>
      </c>
    </row>
    <row r="78" spans="1:2">
      <c r="A78" s="67" t="s">
        <v>130</v>
      </c>
      <c r="B78" s="68" t="s">
        <v>1466</v>
      </c>
    </row>
    <row r="79" spans="1:2">
      <c r="A79" s="67" t="s">
        <v>133</v>
      </c>
      <c r="B79" s="68" t="s">
        <v>1396</v>
      </c>
    </row>
    <row r="80" spans="1:2">
      <c r="A80" s="67" t="s">
        <v>133</v>
      </c>
      <c r="B80" s="68" t="s">
        <v>1402</v>
      </c>
    </row>
    <row r="81" spans="1:2">
      <c r="A81" s="67" t="s">
        <v>134</v>
      </c>
      <c r="B81" s="68" t="s">
        <v>1396</v>
      </c>
    </row>
    <row r="82" spans="1:2">
      <c r="A82" s="67" t="s">
        <v>134</v>
      </c>
      <c r="B82" s="68" t="s">
        <v>1402</v>
      </c>
    </row>
    <row r="83" spans="1:2">
      <c r="A83" s="67" t="s">
        <v>137</v>
      </c>
      <c r="B83" s="68" t="s">
        <v>1396</v>
      </c>
    </row>
    <row r="84" spans="1:2">
      <c r="A84" s="67" t="s">
        <v>137</v>
      </c>
      <c r="B84" s="68" t="s">
        <v>1402</v>
      </c>
    </row>
    <row r="85" spans="1:2">
      <c r="A85" s="67" t="s">
        <v>28</v>
      </c>
      <c r="B85" s="68" t="s">
        <v>1372</v>
      </c>
    </row>
    <row r="86" spans="1:2">
      <c r="A86" s="67" t="s">
        <v>28</v>
      </c>
      <c r="B86" s="68" t="s">
        <v>1402</v>
      </c>
    </row>
    <row r="87" spans="1:2">
      <c r="A87" s="67" t="s">
        <v>142</v>
      </c>
      <c r="B87" s="68" t="s">
        <v>1383</v>
      </c>
    </row>
    <row r="88" spans="1:2">
      <c r="A88" s="67" t="s">
        <v>142</v>
      </c>
      <c r="B88" s="68" t="s">
        <v>1393</v>
      </c>
    </row>
    <row r="89" spans="1:2">
      <c r="A89" s="67" t="s">
        <v>142</v>
      </c>
      <c r="B89" s="68" t="s">
        <v>1402</v>
      </c>
    </row>
    <row r="90" spans="1:2">
      <c r="A90" s="67" t="s">
        <v>145</v>
      </c>
      <c r="B90" s="68" t="s">
        <v>1402</v>
      </c>
    </row>
    <row r="91" spans="1:2">
      <c r="A91" s="67" t="s">
        <v>145</v>
      </c>
      <c r="B91" s="68" t="s">
        <v>1389</v>
      </c>
    </row>
    <row r="92" spans="1:2">
      <c r="A92" s="67" t="s">
        <v>145</v>
      </c>
      <c r="B92" s="68" t="s">
        <v>1435</v>
      </c>
    </row>
    <row r="93" spans="1:2">
      <c r="A93" s="67" t="s">
        <v>145</v>
      </c>
      <c r="B93" s="68" t="s">
        <v>1403</v>
      </c>
    </row>
    <row r="94" spans="1:2">
      <c r="A94" s="67" t="s">
        <v>145</v>
      </c>
      <c r="B94" s="68" t="s">
        <v>1405</v>
      </c>
    </row>
    <row r="95" spans="1:2">
      <c r="A95" s="67" t="s">
        <v>148</v>
      </c>
      <c r="B95" s="68" t="s">
        <v>1407</v>
      </c>
    </row>
    <row r="96" spans="1:2">
      <c r="A96" s="67" t="s">
        <v>148</v>
      </c>
      <c r="B96" s="68" t="s">
        <v>1409</v>
      </c>
    </row>
    <row r="97" spans="1:2">
      <c r="A97" s="67" t="s">
        <v>148</v>
      </c>
      <c r="B97" s="68" t="s">
        <v>1402</v>
      </c>
    </row>
    <row r="98" spans="1:2">
      <c r="A98" s="67" t="s">
        <v>149</v>
      </c>
      <c r="B98" s="68" t="s">
        <v>1407</v>
      </c>
    </row>
    <row r="99" spans="1:2">
      <c r="A99" s="67" t="s">
        <v>149</v>
      </c>
      <c r="B99" s="68" t="s">
        <v>1409</v>
      </c>
    </row>
    <row r="100" spans="1:2">
      <c r="A100" s="67" t="s">
        <v>149</v>
      </c>
      <c r="B100" s="68" t="s">
        <v>1402</v>
      </c>
    </row>
    <row r="101" spans="1:2">
      <c r="A101" s="67" t="s">
        <v>153</v>
      </c>
      <c r="B101" s="68" t="s">
        <v>1407</v>
      </c>
    </row>
    <row r="102" spans="1:2">
      <c r="A102" s="67" t="s">
        <v>153</v>
      </c>
      <c r="B102" s="68" t="s">
        <v>1409</v>
      </c>
    </row>
    <row r="103" spans="1:2">
      <c r="A103" s="67" t="s">
        <v>153</v>
      </c>
      <c r="B103" s="68" t="s">
        <v>1402</v>
      </c>
    </row>
    <row r="104" spans="1:2">
      <c r="A104" s="67" t="s">
        <v>156</v>
      </c>
      <c r="B104" s="68" t="s">
        <v>1407</v>
      </c>
    </row>
    <row r="105" spans="1:2">
      <c r="A105" s="67" t="s">
        <v>156</v>
      </c>
      <c r="B105" s="68" t="s">
        <v>1409</v>
      </c>
    </row>
    <row r="106" spans="1:2">
      <c r="A106" s="67" t="s">
        <v>156</v>
      </c>
      <c r="B106" s="68" t="s">
        <v>1402</v>
      </c>
    </row>
    <row r="107" spans="1:2">
      <c r="A107" s="67" t="s">
        <v>160</v>
      </c>
      <c r="B107" s="68" t="s">
        <v>1407</v>
      </c>
    </row>
    <row r="108" spans="1:2">
      <c r="A108" s="67" t="s">
        <v>160</v>
      </c>
      <c r="B108" s="68" t="s">
        <v>1409</v>
      </c>
    </row>
    <row r="109" spans="1:2">
      <c r="A109" s="67" t="s">
        <v>160</v>
      </c>
      <c r="B109" s="68" t="s">
        <v>1402</v>
      </c>
    </row>
    <row r="110" spans="1:2">
      <c r="A110" s="67" t="s">
        <v>163</v>
      </c>
      <c r="B110" s="68" t="s">
        <v>1407</v>
      </c>
    </row>
    <row r="111" spans="1:2">
      <c r="A111" s="67" t="s">
        <v>163</v>
      </c>
      <c r="B111" s="68" t="s">
        <v>1409</v>
      </c>
    </row>
    <row r="112" spans="1:2">
      <c r="A112" s="67" t="s">
        <v>163</v>
      </c>
      <c r="B112" s="68" t="s">
        <v>1402</v>
      </c>
    </row>
    <row r="113" spans="1:3">
      <c r="A113" s="67" t="s">
        <v>166</v>
      </c>
      <c r="B113" s="68" t="s">
        <v>1402</v>
      </c>
    </row>
    <row r="114" spans="1:3">
      <c r="A114" s="67" t="s">
        <v>166</v>
      </c>
      <c r="B114" s="68" t="s">
        <v>1396</v>
      </c>
    </row>
    <row r="115" spans="1:3">
      <c r="A115" s="67" t="s">
        <v>166</v>
      </c>
      <c r="B115" s="68" t="s">
        <v>1411</v>
      </c>
    </row>
    <row r="116" spans="1:3">
      <c r="A116" s="67" t="s">
        <v>166</v>
      </c>
      <c r="B116" s="68" t="s">
        <v>1413</v>
      </c>
    </row>
    <row r="117" spans="1:3">
      <c r="A117" s="67" t="s">
        <v>168</v>
      </c>
      <c r="B117" s="68" t="s">
        <v>1402</v>
      </c>
    </row>
    <row r="118" spans="1:3">
      <c r="A118" s="67" t="s">
        <v>168</v>
      </c>
      <c r="B118" s="68" t="s">
        <v>1396</v>
      </c>
    </row>
    <row r="119" spans="1:3">
      <c r="A119" s="67" t="s">
        <v>168</v>
      </c>
      <c r="B119" s="68" t="s">
        <v>1411</v>
      </c>
    </row>
    <row r="120" spans="1:3">
      <c r="A120" s="67" t="s">
        <v>168</v>
      </c>
      <c r="B120" s="68" t="s">
        <v>1413</v>
      </c>
    </row>
    <row r="121" spans="1:3">
      <c r="A121" s="67" t="s">
        <v>168</v>
      </c>
      <c r="B121" s="68" t="s">
        <v>1415</v>
      </c>
    </row>
    <row r="122" spans="1:3">
      <c r="A122" s="67" t="s">
        <v>171</v>
      </c>
      <c r="B122" s="68" t="s">
        <v>1471</v>
      </c>
      <c r="C122" t="s">
        <v>1808</v>
      </c>
    </row>
    <row r="123" spans="1:3">
      <c r="A123" s="67" t="s">
        <v>171</v>
      </c>
      <c r="B123" s="68" t="s">
        <v>1473</v>
      </c>
    </row>
    <row r="124" spans="1:3">
      <c r="A124" s="67" t="s">
        <v>171</v>
      </c>
      <c r="B124" s="68" t="s">
        <v>1475</v>
      </c>
    </row>
    <row r="125" spans="1:3">
      <c r="A125" s="67" t="s">
        <v>171</v>
      </c>
      <c r="B125" s="68" t="s">
        <v>1483</v>
      </c>
    </row>
    <row r="126" spans="1:3">
      <c r="A126" s="67" t="s">
        <v>172</v>
      </c>
      <c r="B126" s="68" t="s">
        <v>1471</v>
      </c>
      <c r="C126" t="s">
        <v>1808</v>
      </c>
    </row>
    <row r="127" spans="1:3">
      <c r="A127" s="67" t="s">
        <v>172</v>
      </c>
      <c r="B127" s="68" t="s">
        <v>1473</v>
      </c>
    </row>
    <row r="128" spans="1:3">
      <c r="A128" s="67" t="s">
        <v>172</v>
      </c>
      <c r="B128" s="68" t="s">
        <v>1475</v>
      </c>
    </row>
    <row r="129" spans="1:3">
      <c r="A129" s="67" t="s">
        <v>175</v>
      </c>
      <c r="B129" s="68" t="s">
        <v>1471</v>
      </c>
      <c r="C129" t="s">
        <v>1808</v>
      </c>
    </row>
    <row r="130" spans="1:3">
      <c r="A130" s="67" t="s">
        <v>175</v>
      </c>
      <c r="B130" s="68" t="s">
        <v>1473</v>
      </c>
    </row>
    <row r="131" spans="1:3">
      <c r="A131" s="67" t="s">
        <v>175</v>
      </c>
      <c r="B131" s="68" t="s">
        <v>1475</v>
      </c>
    </row>
    <row r="132" spans="1:3">
      <c r="A132" s="67" t="s">
        <v>175</v>
      </c>
      <c r="B132" s="68" t="s">
        <v>1483</v>
      </c>
    </row>
    <row r="133" spans="1:3">
      <c r="A133" s="67" t="s">
        <v>177</v>
      </c>
      <c r="B133" s="68" t="s">
        <v>1471</v>
      </c>
      <c r="C133" t="s">
        <v>1808</v>
      </c>
    </row>
    <row r="134" spans="1:3">
      <c r="A134" s="67" t="s">
        <v>177</v>
      </c>
      <c r="B134" s="68" t="s">
        <v>1473</v>
      </c>
    </row>
    <row r="135" spans="1:3">
      <c r="A135" s="67" t="s">
        <v>177</v>
      </c>
      <c r="B135" s="68" t="s">
        <v>1475</v>
      </c>
    </row>
    <row r="136" spans="1:3">
      <c r="A136" s="67" t="s">
        <v>180</v>
      </c>
      <c r="B136" s="68" t="s">
        <v>1467</v>
      </c>
    </row>
    <row r="137" spans="1:3">
      <c r="A137" s="67" t="s">
        <v>180</v>
      </c>
      <c r="B137" s="68" t="s">
        <v>1468</v>
      </c>
    </row>
    <row r="138" spans="1:3">
      <c r="A138" s="67" t="s">
        <v>180</v>
      </c>
      <c r="B138" s="68" t="s">
        <v>1470</v>
      </c>
    </row>
    <row r="139" spans="1:3">
      <c r="A139" s="67" t="s">
        <v>180</v>
      </c>
      <c r="B139" s="68" t="s">
        <v>1483</v>
      </c>
    </row>
    <row r="140" spans="1:3">
      <c r="A140" s="67" t="s">
        <v>181</v>
      </c>
      <c r="B140" s="68" t="s">
        <v>1467</v>
      </c>
    </row>
    <row r="141" spans="1:3">
      <c r="A141" s="67" t="s">
        <v>181</v>
      </c>
      <c r="B141" s="68" t="s">
        <v>1468</v>
      </c>
    </row>
    <row r="142" spans="1:3">
      <c r="A142" s="67" t="s">
        <v>181</v>
      </c>
      <c r="B142" s="68" t="s">
        <v>1483</v>
      </c>
    </row>
    <row r="143" spans="1:3">
      <c r="A143" s="67" t="s">
        <v>184</v>
      </c>
      <c r="B143" s="68" t="s">
        <v>1467</v>
      </c>
    </row>
    <row r="144" spans="1:3">
      <c r="A144" s="67" t="s">
        <v>184</v>
      </c>
      <c r="B144" s="68" t="s">
        <v>1468</v>
      </c>
    </row>
    <row r="145" spans="1:2">
      <c r="A145" s="67" t="s">
        <v>184</v>
      </c>
      <c r="B145" s="68" t="s">
        <v>1483</v>
      </c>
    </row>
    <row r="146" spans="1:2">
      <c r="A146" s="67" t="s">
        <v>187</v>
      </c>
      <c r="B146" s="68" t="s">
        <v>1467</v>
      </c>
    </row>
    <row r="147" spans="1:2">
      <c r="A147" s="67" t="s">
        <v>187</v>
      </c>
      <c r="B147" s="68" t="s">
        <v>1468</v>
      </c>
    </row>
    <row r="148" spans="1:2">
      <c r="A148" s="67" t="s">
        <v>187</v>
      </c>
      <c r="B148" s="68" t="s">
        <v>1483</v>
      </c>
    </row>
    <row r="149" spans="1:2">
      <c r="A149" s="67" t="s">
        <v>190</v>
      </c>
      <c r="B149" s="68" t="s">
        <v>1467</v>
      </c>
    </row>
    <row r="150" spans="1:2">
      <c r="A150" s="67" t="s">
        <v>190</v>
      </c>
      <c r="B150" s="68" t="s">
        <v>1468</v>
      </c>
    </row>
    <row r="151" spans="1:2">
      <c r="A151" s="67" t="s">
        <v>190</v>
      </c>
      <c r="B151" s="68" t="s">
        <v>1483</v>
      </c>
    </row>
    <row r="152" spans="1:2">
      <c r="A152" s="67" t="s">
        <v>193</v>
      </c>
      <c r="B152" s="68" t="s">
        <v>1468</v>
      </c>
    </row>
    <row r="153" spans="1:2">
      <c r="A153" s="67" t="s">
        <v>193</v>
      </c>
      <c r="B153" s="68" t="s">
        <v>1483</v>
      </c>
    </row>
    <row r="154" spans="1:2">
      <c r="A154" s="67" t="s">
        <v>196</v>
      </c>
      <c r="B154" s="68" t="s">
        <v>1467</v>
      </c>
    </row>
    <row r="155" spans="1:2">
      <c r="A155" s="67" t="s">
        <v>196</v>
      </c>
      <c r="B155" s="68" t="s">
        <v>1483</v>
      </c>
    </row>
    <row r="156" spans="1:2">
      <c r="A156" s="67" t="s">
        <v>199</v>
      </c>
      <c r="B156" s="68" t="s">
        <v>1470</v>
      </c>
    </row>
    <row r="157" spans="1:2">
      <c r="A157" s="67" t="s">
        <v>199</v>
      </c>
      <c r="B157" s="68" t="s">
        <v>1483</v>
      </c>
    </row>
    <row r="158" spans="1:2">
      <c r="A158" s="67" t="s">
        <v>202</v>
      </c>
      <c r="B158" s="68" t="s">
        <v>1470</v>
      </c>
    </row>
    <row r="159" spans="1:2">
      <c r="A159" s="67" t="s">
        <v>202</v>
      </c>
      <c r="B159" s="68" t="s">
        <v>1483</v>
      </c>
    </row>
    <row r="160" spans="1:2">
      <c r="A160" s="67" t="s">
        <v>207</v>
      </c>
      <c r="B160" s="68" t="s">
        <v>1477</v>
      </c>
    </row>
    <row r="161" spans="1:2">
      <c r="A161" s="67" t="s">
        <v>207</v>
      </c>
      <c r="B161" s="68" t="s">
        <v>1479</v>
      </c>
    </row>
    <row r="162" spans="1:2">
      <c r="A162" s="67" t="s">
        <v>207</v>
      </c>
      <c r="B162" s="68" t="s">
        <v>1483</v>
      </c>
    </row>
    <row r="163" spans="1:2">
      <c r="A163" s="67" t="s">
        <v>207</v>
      </c>
      <c r="B163" s="68" t="s">
        <v>1484</v>
      </c>
    </row>
    <row r="164" spans="1:2">
      <c r="A164" s="67" t="s">
        <v>208</v>
      </c>
      <c r="B164" s="68" t="s">
        <v>1477</v>
      </c>
    </row>
    <row r="165" spans="1:2">
      <c r="A165" s="67" t="s">
        <v>208</v>
      </c>
      <c r="B165" s="68" t="s">
        <v>1479</v>
      </c>
    </row>
    <row r="166" spans="1:2">
      <c r="A166" s="67" t="s">
        <v>208</v>
      </c>
      <c r="B166" s="68" t="s">
        <v>1483</v>
      </c>
    </row>
    <row r="167" spans="1:2">
      <c r="A167" s="67" t="s">
        <v>208</v>
      </c>
      <c r="B167" s="68" t="s">
        <v>1484</v>
      </c>
    </row>
    <row r="168" spans="1:2">
      <c r="A168" s="67" t="s">
        <v>211</v>
      </c>
      <c r="B168" s="68" t="s">
        <v>1477</v>
      </c>
    </row>
    <row r="169" spans="1:2">
      <c r="A169" s="67" t="s">
        <v>211</v>
      </c>
      <c r="B169" s="68" t="s">
        <v>1479</v>
      </c>
    </row>
    <row r="170" spans="1:2">
      <c r="A170" s="67" t="s">
        <v>211</v>
      </c>
      <c r="B170" s="68" t="s">
        <v>1483</v>
      </c>
    </row>
    <row r="171" spans="1:2">
      <c r="A171" s="67" t="s">
        <v>217</v>
      </c>
      <c r="B171" s="68" t="s">
        <v>1477</v>
      </c>
    </row>
    <row r="172" spans="1:2">
      <c r="A172" s="67" t="s">
        <v>217</v>
      </c>
      <c r="B172" s="68" t="s">
        <v>1479</v>
      </c>
    </row>
    <row r="173" spans="1:2">
      <c r="A173" s="67" t="s">
        <v>217</v>
      </c>
      <c r="B173" s="68" t="s">
        <v>1483</v>
      </c>
    </row>
    <row r="174" spans="1:2">
      <c r="A174" s="67" t="s">
        <v>217</v>
      </c>
      <c r="B174" s="68" t="s">
        <v>1484</v>
      </c>
    </row>
    <row r="175" spans="1:2">
      <c r="A175" s="67" t="s">
        <v>218</v>
      </c>
      <c r="B175" s="68" t="s">
        <v>1477</v>
      </c>
    </row>
    <row r="176" spans="1:2">
      <c r="A176" s="67" t="s">
        <v>218</v>
      </c>
      <c r="B176" s="68" t="s">
        <v>1479</v>
      </c>
    </row>
    <row r="177" spans="1:2">
      <c r="A177" s="67" t="s">
        <v>218</v>
      </c>
      <c r="B177" s="68" t="s">
        <v>1484</v>
      </c>
    </row>
    <row r="178" spans="1:2">
      <c r="A178" s="67" t="s">
        <v>220</v>
      </c>
      <c r="B178" s="68" t="s">
        <v>1477</v>
      </c>
    </row>
    <row r="179" spans="1:2">
      <c r="A179" s="67" t="s">
        <v>220</v>
      </c>
      <c r="B179" s="68" t="s">
        <v>1479</v>
      </c>
    </row>
    <row r="180" spans="1:2">
      <c r="A180" s="67" t="s">
        <v>220</v>
      </c>
      <c r="B180" s="68" t="s">
        <v>1483</v>
      </c>
    </row>
    <row r="181" spans="1:2">
      <c r="A181" s="67" t="s">
        <v>220</v>
      </c>
      <c r="B181" s="68" t="s">
        <v>1484</v>
      </c>
    </row>
    <row r="182" spans="1:2">
      <c r="A182" s="67" t="s">
        <v>223</v>
      </c>
      <c r="B182" s="68" t="s">
        <v>1477</v>
      </c>
    </row>
    <row r="183" spans="1:2">
      <c r="A183" s="67" t="s">
        <v>223</v>
      </c>
      <c r="B183" s="68" t="s">
        <v>1479</v>
      </c>
    </row>
    <row r="184" spans="1:2">
      <c r="A184" s="67" t="s">
        <v>223</v>
      </c>
      <c r="B184" s="68" t="s">
        <v>1483</v>
      </c>
    </row>
    <row r="185" spans="1:2">
      <c r="A185" s="67" t="s">
        <v>228</v>
      </c>
      <c r="B185" s="68" t="s">
        <v>1477</v>
      </c>
    </row>
    <row r="186" spans="1:2">
      <c r="A186" s="67" t="s">
        <v>228</v>
      </c>
      <c r="B186" s="68" t="s">
        <v>1479</v>
      </c>
    </row>
    <row r="187" spans="1:2">
      <c r="A187" s="67" t="s">
        <v>228</v>
      </c>
      <c r="B187" s="68" t="s">
        <v>1483</v>
      </c>
    </row>
    <row r="188" spans="1:2" ht="17.25" customHeight="1">
      <c r="A188" s="67" t="s">
        <v>228</v>
      </c>
      <c r="B188" s="68" t="s">
        <v>1484</v>
      </c>
    </row>
    <row r="189" spans="1:2" ht="17.25" customHeight="1">
      <c r="A189" s="67" t="s">
        <v>231</v>
      </c>
      <c r="B189" s="68" t="s">
        <v>1477</v>
      </c>
    </row>
    <row r="190" spans="1:2">
      <c r="A190" s="67" t="s">
        <v>231</v>
      </c>
      <c r="B190" s="68" t="s">
        <v>1479</v>
      </c>
    </row>
    <row r="191" spans="1:2">
      <c r="A191" s="67" t="s">
        <v>231</v>
      </c>
      <c r="B191" s="68" t="s">
        <v>1483</v>
      </c>
    </row>
    <row r="192" spans="1:2">
      <c r="A192" s="67" t="s">
        <v>231</v>
      </c>
      <c r="B192" s="68" t="s">
        <v>1484</v>
      </c>
    </row>
    <row r="193" spans="1:2">
      <c r="A193" s="67" t="s">
        <v>234</v>
      </c>
      <c r="B193" s="68" t="s">
        <v>1477</v>
      </c>
    </row>
    <row r="194" spans="1:2">
      <c r="A194" s="67" t="s">
        <v>234</v>
      </c>
      <c r="B194" s="68" t="s">
        <v>1479</v>
      </c>
    </row>
    <row r="195" spans="1:2">
      <c r="A195" s="67" t="s">
        <v>234</v>
      </c>
      <c r="B195" s="68" t="s">
        <v>1483</v>
      </c>
    </row>
    <row r="196" spans="1:2">
      <c r="A196" s="67" t="s">
        <v>234</v>
      </c>
      <c r="B196" s="68" t="s">
        <v>1484</v>
      </c>
    </row>
    <row r="197" spans="1:2">
      <c r="A197" s="67" t="s">
        <v>237</v>
      </c>
      <c r="B197" s="68" t="s">
        <v>1477</v>
      </c>
    </row>
    <row r="198" spans="1:2">
      <c r="A198" s="67" t="s">
        <v>237</v>
      </c>
      <c r="B198" s="68" t="s">
        <v>1479</v>
      </c>
    </row>
    <row r="199" spans="1:2">
      <c r="A199" s="67" t="s">
        <v>237</v>
      </c>
      <c r="B199" s="68" t="s">
        <v>1483</v>
      </c>
    </row>
    <row r="200" spans="1:2">
      <c r="A200" s="67" t="s">
        <v>237</v>
      </c>
      <c r="B200" s="68" t="s">
        <v>1484</v>
      </c>
    </row>
    <row r="201" spans="1:2">
      <c r="A201" s="67" t="s">
        <v>240</v>
      </c>
      <c r="B201" s="68" t="s">
        <v>1477</v>
      </c>
    </row>
    <row r="202" spans="1:2">
      <c r="A202" s="67" t="s">
        <v>240</v>
      </c>
      <c r="B202" s="68" t="s">
        <v>1479</v>
      </c>
    </row>
    <row r="203" spans="1:2">
      <c r="A203" s="67" t="s">
        <v>240</v>
      </c>
      <c r="B203" s="68" t="s">
        <v>1483</v>
      </c>
    </row>
    <row r="204" spans="1:2">
      <c r="A204" s="67" t="s">
        <v>240</v>
      </c>
      <c r="B204" s="68" t="s">
        <v>1484</v>
      </c>
    </row>
    <row r="205" spans="1:2">
      <c r="A205" s="67" t="s">
        <v>243</v>
      </c>
      <c r="B205" s="68" t="s">
        <v>1477</v>
      </c>
    </row>
    <row r="206" spans="1:2">
      <c r="A206" s="67" t="s">
        <v>243</v>
      </c>
      <c r="B206" s="68" t="s">
        <v>1479</v>
      </c>
    </row>
    <row r="207" spans="1:2">
      <c r="A207" s="67" t="s">
        <v>243</v>
      </c>
      <c r="B207" s="68" t="s">
        <v>1483</v>
      </c>
    </row>
    <row r="208" spans="1:2">
      <c r="A208" s="67" t="s">
        <v>243</v>
      </c>
      <c r="B208" s="68" t="s">
        <v>1484</v>
      </c>
    </row>
    <row r="209" spans="1:2">
      <c r="A209" s="67" t="s">
        <v>272</v>
      </c>
      <c r="B209" s="68" t="s">
        <v>1471</v>
      </c>
    </row>
    <row r="210" spans="1:2">
      <c r="A210" s="67" t="s">
        <v>276</v>
      </c>
      <c r="B210" s="68" t="s">
        <v>1471</v>
      </c>
    </row>
    <row r="211" spans="1:2">
      <c r="A211" s="67" t="s">
        <v>246</v>
      </c>
      <c r="B211" s="68" t="s">
        <v>1481</v>
      </c>
    </row>
    <row r="212" spans="1:2">
      <c r="A212" s="67" t="s">
        <v>279</v>
      </c>
      <c r="B212" s="68" t="s">
        <v>1481</v>
      </c>
    </row>
    <row r="213" spans="1:2">
      <c r="A213" s="67" t="s">
        <v>282</v>
      </c>
      <c r="B213" s="68" t="s">
        <v>1482</v>
      </c>
    </row>
    <row r="214" spans="1:2">
      <c r="A214" s="67" t="s">
        <v>285</v>
      </c>
      <c r="B214" s="68" t="s">
        <v>1464</v>
      </c>
    </row>
    <row r="215" spans="1:2">
      <c r="A215" s="67" t="s">
        <v>288</v>
      </c>
      <c r="B215" s="68" t="s">
        <v>1417</v>
      </c>
    </row>
    <row r="216" spans="1:2">
      <c r="A216" s="67" t="s">
        <v>291</v>
      </c>
      <c r="B216" s="64" t="s">
        <v>1417</v>
      </c>
    </row>
    <row r="217" spans="1:2">
      <c r="A217" s="67" t="s">
        <v>293</v>
      </c>
      <c r="B217" s="64" t="s">
        <v>1417</v>
      </c>
    </row>
    <row r="218" spans="1:2">
      <c r="A218" s="67" t="s">
        <v>296</v>
      </c>
      <c r="B218" s="64" t="s">
        <v>1417</v>
      </c>
    </row>
    <row r="219" spans="1:2">
      <c r="A219" s="67" t="s">
        <v>299</v>
      </c>
      <c r="B219" s="68" t="s">
        <v>1420</v>
      </c>
    </row>
    <row r="220" spans="1:2">
      <c r="A220" s="67" t="s">
        <v>302</v>
      </c>
      <c r="B220" s="68" t="s">
        <v>1389</v>
      </c>
    </row>
    <row r="221" spans="1:2">
      <c r="A221" s="67" t="s">
        <v>305</v>
      </c>
      <c r="B221" s="68" t="s">
        <v>1422</v>
      </c>
    </row>
    <row r="222" spans="1:2">
      <c r="A222" s="67" t="s">
        <v>308</v>
      </c>
      <c r="B222" s="68" t="s">
        <v>1422</v>
      </c>
    </row>
    <row r="223" spans="1:2">
      <c r="A223" s="67" t="s">
        <v>311</v>
      </c>
      <c r="B223" s="68" t="s">
        <v>1422</v>
      </c>
    </row>
    <row r="224" spans="1:2">
      <c r="A224" s="67" t="s">
        <v>314</v>
      </c>
      <c r="B224" s="68" t="s">
        <v>1432</v>
      </c>
    </row>
    <row r="225" spans="1:2">
      <c r="A225" s="67" t="s">
        <v>317</v>
      </c>
      <c r="B225" s="68" t="s">
        <v>1425</v>
      </c>
    </row>
    <row r="226" spans="1:2">
      <c r="A226" s="67" t="s">
        <v>320</v>
      </c>
      <c r="B226" s="68" t="s">
        <v>1429</v>
      </c>
    </row>
    <row r="227" spans="1:2">
      <c r="A227" s="67" t="s">
        <v>323</v>
      </c>
      <c r="B227" s="68" t="s">
        <v>1429</v>
      </c>
    </row>
    <row r="228" spans="1:2">
      <c r="A228" s="67" t="s">
        <v>326</v>
      </c>
      <c r="B228" s="68" t="s">
        <v>1429</v>
      </c>
    </row>
    <row r="229" spans="1:2">
      <c r="A229" s="67" t="s">
        <v>329</v>
      </c>
      <c r="B229" s="68" t="s">
        <v>1396</v>
      </c>
    </row>
    <row r="230" spans="1:2">
      <c r="A230" s="67" t="s">
        <v>332</v>
      </c>
      <c r="B230" s="64" t="s">
        <v>1396</v>
      </c>
    </row>
    <row r="231" spans="1:2">
      <c r="A231" s="67" t="s">
        <v>335</v>
      </c>
      <c r="B231" s="64" t="s">
        <v>1396</v>
      </c>
    </row>
    <row r="232" spans="1:2">
      <c r="A232" s="67" t="s">
        <v>338</v>
      </c>
      <c r="B232" s="64" t="s">
        <v>1396</v>
      </c>
    </row>
    <row r="233" spans="1:2">
      <c r="A233" s="67" t="s">
        <v>341</v>
      </c>
      <c r="B233" s="64" t="s">
        <v>1396</v>
      </c>
    </row>
    <row r="234" spans="1:2">
      <c r="A234" s="67" t="s">
        <v>344</v>
      </c>
      <c r="B234" s="64" t="s">
        <v>1396</v>
      </c>
    </row>
    <row r="235" spans="1:2">
      <c r="A235" s="67" t="s">
        <v>347</v>
      </c>
      <c r="B235" s="64" t="s">
        <v>1396</v>
      </c>
    </row>
    <row r="236" spans="1:2">
      <c r="A236" s="67" t="s">
        <v>350</v>
      </c>
      <c r="B236" s="64" t="s">
        <v>1396</v>
      </c>
    </row>
    <row r="237" spans="1:2">
      <c r="A237" s="67" t="s">
        <v>353</v>
      </c>
      <c r="B237" s="64" t="s">
        <v>1396</v>
      </c>
    </row>
    <row r="238" spans="1:2">
      <c r="A238" s="67" t="s">
        <v>355</v>
      </c>
      <c r="B238" s="64" t="s">
        <v>1396</v>
      </c>
    </row>
    <row r="239" spans="1:2">
      <c r="A239" s="67" t="s">
        <v>358</v>
      </c>
      <c r="B239" s="64" t="s">
        <v>1396</v>
      </c>
    </row>
    <row r="240" spans="1:2">
      <c r="A240" s="67" t="s">
        <v>361</v>
      </c>
      <c r="B240" s="64" t="s">
        <v>1396</v>
      </c>
    </row>
    <row r="241" spans="1:2">
      <c r="A241" s="67" t="s">
        <v>364</v>
      </c>
      <c r="B241" s="64" t="s">
        <v>1389</v>
      </c>
    </row>
    <row r="242" spans="1:2">
      <c r="A242" s="67" t="s">
        <v>364</v>
      </c>
      <c r="B242" s="64" t="s">
        <v>1435</v>
      </c>
    </row>
    <row r="243" spans="1:2">
      <c r="A243" s="67" t="s">
        <v>367</v>
      </c>
      <c r="B243" s="64" t="s">
        <v>1438</v>
      </c>
    </row>
    <row r="244" spans="1:2">
      <c r="A244" s="67" t="s">
        <v>367</v>
      </c>
      <c r="B244" s="64" t="s">
        <v>1389</v>
      </c>
    </row>
    <row r="245" spans="1:2">
      <c r="A245" s="67" t="s">
        <v>370</v>
      </c>
      <c r="B245" s="64" t="s">
        <v>1441</v>
      </c>
    </row>
    <row r="246" spans="1:2">
      <c r="A246" s="67" t="s">
        <v>370</v>
      </c>
      <c r="B246" s="64" t="s">
        <v>1389</v>
      </c>
    </row>
    <row r="247" spans="1:2">
      <c r="A247" s="67" t="s">
        <v>373</v>
      </c>
      <c r="B247" s="64" t="s">
        <v>1441</v>
      </c>
    </row>
    <row r="248" spans="1:2">
      <c r="A248" s="67" t="s">
        <v>373</v>
      </c>
      <c r="B248" s="64" t="s">
        <v>1389</v>
      </c>
    </row>
    <row r="249" spans="1:2">
      <c r="A249" s="67" t="s">
        <v>376</v>
      </c>
      <c r="B249" s="64" t="s">
        <v>1443</v>
      </c>
    </row>
    <row r="250" spans="1:2">
      <c r="A250" s="67" t="s">
        <v>376</v>
      </c>
      <c r="B250" s="64" t="s">
        <v>1389</v>
      </c>
    </row>
    <row r="251" spans="1:2">
      <c r="A251" s="67" t="s">
        <v>379</v>
      </c>
      <c r="B251" s="64" t="s">
        <v>1389</v>
      </c>
    </row>
    <row r="252" spans="1:2">
      <c r="A252" s="67" t="s">
        <v>382</v>
      </c>
      <c r="B252" s="64" t="s">
        <v>1389</v>
      </c>
    </row>
    <row r="253" spans="1:2">
      <c r="A253" s="67" t="s">
        <v>385</v>
      </c>
      <c r="B253" s="64" t="s">
        <v>1389</v>
      </c>
    </row>
    <row r="254" spans="1:2">
      <c r="A254" s="67" t="s">
        <v>388</v>
      </c>
      <c r="B254" s="64" t="s">
        <v>1389</v>
      </c>
    </row>
    <row r="255" spans="1:2">
      <c r="A255" s="67" t="s">
        <v>390</v>
      </c>
      <c r="B255" s="64" t="s">
        <v>1389</v>
      </c>
    </row>
    <row r="256" spans="1:2">
      <c r="A256" s="67" t="s">
        <v>393</v>
      </c>
      <c r="B256" s="64" t="s">
        <v>1389</v>
      </c>
    </row>
    <row r="257" spans="1:2">
      <c r="A257" s="67" t="s">
        <v>268</v>
      </c>
      <c r="B257" s="64" t="s">
        <v>1389</v>
      </c>
    </row>
    <row r="258" spans="1:2">
      <c r="A258" s="67" t="s">
        <v>268</v>
      </c>
      <c r="B258" s="64" t="s">
        <v>1456</v>
      </c>
    </row>
    <row r="259" spans="1:2" ht="15">
      <c r="A259" s="67" t="s">
        <v>268</v>
      </c>
      <c r="B259" s="64" t="s">
        <v>1402</v>
      </c>
    </row>
    <row r="260" spans="1:2">
      <c r="A260" s="67" t="s">
        <v>269</v>
      </c>
      <c r="B260" s="64" t="s">
        <v>1389</v>
      </c>
    </row>
    <row r="261" spans="1:2">
      <c r="A261" s="67" t="s">
        <v>269</v>
      </c>
      <c r="B261" s="64" t="s">
        <v>1456</v>
      </c>
    </row>
    <row r="262" spans="1:2" ht="15">
      <c r="A262" s="67" t="s">
        <v>269</v>
      </c>
      <c r="B262" s="64" t="s">
        <v>1402</v>
      </c>
    </row>
    <row r="263" spans="1:2">
      <c r="A263" s="67" t="s">
        <v>399</v>
      </c>
      <c r="B263" s="64" t="s">
        <v>1396</v>
      </c>
    </row>
    <row r="264" spans="1:2">
      <c r="A264" s="67" t="s">
        <v>396</v>
      </c>
      <c r="B264" s="64" t="s">
        <v>1389</v>
      </c>
    </row>
    <row r="265" spans="1:2">
      <c r="A265" s="67" t="s">
        <v>402</v>
      </c>
      <c r="B265" s="64" t="s">
        <v>1396</v>
      </c>
    </row>
    <row r="266" spans="1:2">
      <c r="A266" s="67" t="s">
        <v>405</v>
      </c>
      <c r="B266" s="64" t="s">
        <v>1444</v>
      </c>
    </row>
    <row r="267" spans="1:2">
      <c r="A267" s="67" t="s">
        <v>408</v>
      </c>
      <c r="B267" s="64" t="s">
        <v>1447</v>
      </c>
    </row>
    <row r="268" spans="1:2">
      <c r="A268" s="67" t="s">
        <v>411</v>
      </c>
      <c r="B268" s="64" t="s">
        <v>1389</v>
      </c>
    </row>
    <row r="269" spans="1:2">
      <c r="A269" s="67" t="s">
        <v>411</v>
      </c>
      <c r="B269" s="64" t="s">
        <v>1448</v>
      </c>
    </row>
    <row r="270" spans="1:2">
      <c r="A270" s="67" t="s">
        <v>414</v>
      </c>
      <c r="B270" s="64" t="s">
        <v>1389</v>
      </c>
    </row>
    <row r="271" spans="1:2">
      <c r="A271" s="67" t="s">
        <v>414</v>
      </c>
      <c r="B271" s="64" t="s">
        <v>1450</v>
      </c>
    </row>
    <row r="272" spans="1:2">
      <c r="A272" s="67" t="s">
        <v>416</v>
      </c>
      <c r="B272" s="64" t="s">
        <v>1452</v>
      </c>
    </row>
    <row r="273" spans="1:2">
      <c r="A273" s="67" t="s">
        <v>416</v>
      </c>
      <c r="B273" s="64" t="s">
        <v>1389</v>
      </c>
    </row>
    <row r="274" spans="1:2">
      <c r="A274" s="67" t="s">
        <v>419</v>
      </c>
      <c r="B274" s="64" t="s">
        <v>1389</v>
      </c>
    </row>
    <row r="275" spans="1:2">
      <c r="A275" s="67" t="s">
        <v>419</v>
      </c>
      <c r="B275" s="64" t="s">
        <v>1809</v>
      </c>
    </row>
    <row r="276" spans="1:2">
      <c r="A276" s="67" t="s">
        <v>422</v>
      </c>
      <c r="B276" s="64" t="s">
        <v>1453</v>
      </c>
    </row>
    <row r="277" spans="1:2">
      <c r="A277" s="67" t="s">
        <v>425</v>
      </c>
      <c r="B277" s="64" t="s">
        <v>1454</v>
      </c>
    </row>
    <row r="278" spans="1:2" ht="15">
      <c r="A278" s="67" t="s">
        <v>249</v>
      </c>
      <c r="B278" s="68" t="s">
        <v>1444</v>
      </c>
    </row>
    <row r="279" spans="1:2" ht="15">
      <c r="A279" s="64" t="s">
        <v>249</v>
      </c>
      <c r="B279" s="64" t="s">
        <v>1389</v>
      </c>
    </row>
    <row r="280" spans="1:2" ht="15">
      <c r="A280" s="64" t="s">
        <v>249</v>
      </c>
      <c r="B280" s="64" t="s">
        <v>1402</v>
      </c>
    </row>
    <row r="281" spans="1:2" ht="15">
      <c r="A281" s="64" t="s">
        <v>249</v>
      </c>
      <c r="B281" s="64" t="s">
        <v>1459</v>
      </c>
    </row>
    <row r="282" spans="1:2" ht="15">
      <c r="A282" s="64" t="s">
        <v>253</v>
      </c>
      <c r="B282" s="64" t="s">
        <v>1444</v>
      </c>
    </row>
    <row r="283" spans="1:2" ht="15">
      <c r="A283" s="64" t="s">
        <v>253</v>
      </c>
      <c r="B283" s="64" t="s">
        <v>1389</v>
      </c>
    </row>
    <row r="284" spans="1:2" ht="15">
      <c r="A284" s="64" t="s">
        <v>253</v>
      </c>
      <c r="B284" s="64" t="s">
        <v>1402</v>
      </c>
    </row>
    <row r="285" spans="1:2" ht="15">
      <c r="A285" s="64" t="s">
        <v>253</v>
      </c>
      <c r="B285" s="64" t="s">
        <v>1459</v>
      </c>
    </row>
    <row r="286" spans="1:2" ht="15">
      <c r="A286" s="64" t="s">
        <v>257</v>
      </c>
      <c r="B286" s="64" t="s">
        <v>1402</v>
      </c>
    </row>
    <row r="287" spans="1:2" ht="15">
      <c r="A287" s="64" t="s">
        <v>257</v>
      </c>
      <c r="B287" s="64" t="s">
        <v>1459</v>
      </c>
    </row>
    <row r="288" spans="1:2" ht="15">
      <c r="A288" s="64" t="s">
        <v>257</v>
      </c>
      <c r="B288" s="64" t="s">
        <v>1444</v>
      </c>
    </row>
    <row r="289" spans="1:2" ht="15">
      <c r="A289" s="64" t="s">
        <v>261</v>
      </c>
      <c r="B289" s="64" t="s">
        <v>1459</v>
      </c>
    </row>
    <row r="290" spans="1:2" ht="15">
      <c r="A290" s="64" t="s">
        <v>261</v>
      </c>
      <c r="B290" s="64" t="s">
        <v>1444</v>
      </c>
    </row>
    <row r="291" spans="1:2" ht="15">
      <c r="A291" s="64" t="s">
        <v>261</v>
      </c>
      <c r="B291" s="64" t="s">
        <v>1389</v>
      </c>
    </row>
    <row r="292" spans="1:2" ht="15">
      <c r="A292" s="64" t="s">
        <v>261</v>
      </c>
      <c r="B292" s="64" t="s">
        <v>1402</v>
      </c>
    </row>
    <row r="293" spans="1:2" ht="15">
      <c r="A293" s="64" t="s">
        <v>265</v>
      </c>
      <c r="B293" s="64" t="s">
        <v>1459</v>
      </c>
    </row>
    <row r="294" spans="1:2" ht="15">
      <c r="A294" s="64" t="s">
        <v>265</v>
      </c>
      <c r="B294" s="64" t="s">
        <v>1444</v>
      </c>
    </row>
    <row r="295" spans="1:2" ht="15">
      <c r="A295" s="64" t="s">
        <v>265</v>
      </c>
      <c r="B295" s="64" t="s">
        <v>1389</v>
      </c>
    </row>
    <row r="296" spans="1:2" ht="15">
      <c r="A296" s="64" t="s">
        <v>265</v>
      </c>
      <c r="B296" s="64" t="s">
        <v>1402</v>
      </c>
    </row>
    <row r="297" spans="1:2" ht="15">
      <c r="A297" s="64"/>
      <c r="B297" s="64"/>
    </row>
    <row r="298" spans="1:2">
      <c r="A298" s="67" t="s">
        <v>830</v>
      </c>
      <c r="B298" s="68" t="s">
        <v>1539</v>
      </c>
    </row>
    <row r="299" spans="1:2">
      <c r="A299" s="67" t="s">
        <v>836</v>
      </c>
      <c r="B299" s="68" t="s">
        <v>1539</v>
      </c>
    </row>
    <row r="300" spans="1:2">
      <c r="A300" s="67" t="s">
        <v>839</v>
      </c>
      <c r="B300" s="68" t="s">
        <v>1539</v>
      </c>
    </row>
    <row r="301" spans="1:2">
      <c r="A301" s="67" t="s">
        <v>841</v>
      </c>
      <c r="B301" s="68" t="s">
        <v>1539</v>
      </c>
    </row>
    <row r="302" spans="1:2">
      <c r="A302" s="67" t="s">
        <v>841</v>
      </c>
      <c r="B302" s="68" t="s">
        <v>1274</v>
      </c>
    </row>
    <row r="303" spans="1:2">
      <c r="A303" s="67" t="s">
        <v>843</v>
      </c>
      <c r="B303" s="68" t="s">
        <v>1539</v>
      </c>
    </row>
    <row r="304" spans="1:2">
      <c r="A304" s="67" t="s">
        <v>845</v>
      </c>
      <c r="B304" s="68" t="s">
        <v>1539</v>
      </c>
    </row>
    <row r="305" spans="1:2">
      <c r="A305" s="67" t="s">
        <v>845</v>
      </c>
      <c r="B305" s="68" t="s">
        <v>1274</v>
      </c>
    </row>
    <row r="306" spans="1:2">
      <c r="A306" s="67" t="s">
        <v>847</v>
      </c>
      <c r="B306" s="68" t="s">
        <v>1539</v>
      </c>
    </row>
    <row r="307" spans="1:2">
      <c r="A307" s="67" t="s">
        <v>847</v>
      </c>
      <c r="B307" s="68" t="s">
        <v>1274</v>
      </c>
    </row>
    <row r="308" spans="1:2">
      <c r="A308" s="67" t="s">
        <v>849</v>
      </c>
      <c r="B308" s="68" t="s">
        <v>1539</v>
      </c>
    </row>
    <row r="309" spans="1:2">
      <c r="A309" s="67" t="s">
        <v>851</v>
      </c>
      <c r="B309" s="68" t="s">
        <v>1539</v>
      </c>
    </row>
    <row r="310" spans="1:2">
      <c r="A310" s="67" t="s">
        <v>851</v>
      </c>
      <c r="B310" s="68" t="s">
        <v>1274</v>
      </c>
    </row>
    <row r="311" spans="1:2">
      <c r="A311" s="67" t="s">
        <v>852</v>
      </c>
      <c r="B311" s="68" t="s">
        <v>1539</v>
      </c>
    </row>
    <row r="312" spans="1:2">
      <c r="A312" s="67" t="s">
        <v>854</v>
      </c>
      <c r="B312" s="68" t="s">
        <v>1539</v>
      </c>
    </row>
    <row r="313" spans="1:2">
      <c r="A313" s="67" t="s">
        <v>854</v>
      </c>
      <c r="B313" s="68" t="s">
        <v>1274</v>
      </c>
    </row>
    <row r="314" spans="1:2">
      <c r="A314" s="67" t="s">
        <v>856</v>
      </c>
      <c r="B314" s="68" t="s">
        <v>1539</v>
      </c>
    </row>
    <row r="315" spans="1:2">
      <c r="A315" s="67" t="s">
        <v>856</v>
      </c>
      <c r="B315" s="68" t="s">
        <v>1274</v>
      </c>
    </row>
    <row r="316" spans="1:2">
      <c r="A316" s="67" t="s">
        <v>858</v>
      </c>
      <c r="B316" s="68" t="s">
        <v>1539</v>
      </c>
    </row>
    <row r="317" spans="1:2">
      <c r="A317" s="67" t="s">
        <v>859</v>
      </c>
      <c r="B317" s="68" t="s">
        <v>1539</v>
      </c>
    </row>
    <row r="318" spans="1:2">
      <c r="A318" s="67" t="s">
        <v>859</v>
      </c>
      <c r="B318" s="68" t="s">
        <v>1274</v>
      </c>
    </row>
    <row r="319" spans="1:2">
      <c r="A319" s="67" t="s">
        <v>861</v>
      </c>
      <c r="B319" s="68" t="s">
        <v>1539</v>
      </c>
    </row>
    <row r="320" spans="1:2">
      <c r="A320" s="67" t="s">
        <v>863</v>
      </c>
      <c r="B320" s="68" t="s">
        <v>1539</v>
      </c>
    </row>
    <row r="321" spans="1:2">
      <c r="A321" s="67" t="s">
        <v>863</v>
      </c>
      <c r="B321" s="68" t="s">
        <v>1274</v>
      </c>
    </row>
    <row r="322" spans="1:2">
      <c r="A322" s="67" t="s">
        <v>864</v>
      </c>
      <c r="B322" s="68" t="s">
        <v>1539</v>
      </c>
    </row>
    <row r="323" spans="1:2">
      <c r="A323" s="67" t="s">
        <v>866</v>
      </c>
      <c r="B323" s="68" t="s">
        <v>1539</v>
      </c>
    </row>
    <row r="324" spans="1:2">
      <c r="A324" s="67"/>
      <c r="B324" s="68"/>
    </row>
    <row r="325" spans="1:2">
      <c r="A325" s="67" t="s">
        <v>867</v>
      </c>
      <c r="B325" s="68" t="s">
        <v>1571</v>
      </c>
    </row>
    <row r="326" spans="1:2">
      <c r="A326" s="67" t="s">
        <v>867</v>
      </c>
      <c r="B326" s="68" t="s">
        <v>1546</v>
      </c>
    </row>
    <row r="327" spans="1:2">
      <c r="A327" s="67" t="s">
        <v>867</v>
      </c>
      <c r="B327" s="68" t="s">
        <v>1570</v>
      </c>
    </row>
    <row r="328" spans="1:2">
      <c r="A328" s="67" t="s">
        <v>870</v>
      </c>
      <c r="B328" s="68" t="s">
        <v>1546</v>
      </c>
    </row>
    <row r="329" spans="1:2">
      <c r="A329" s="67" t="s">
        <v>872</v>
      </c>
      <c r="B329" s="68" t="s">
        <v>1546</v>
      </c>
    </row>
    <row r="330" spans="1:2">
      <c r="A330" s="67" t="s">
        <v>874</v>
      </c>
      <c r="B330" s="68" t="s">
        <v>1546</v>
      </c>
    </row>
    <row r="331" spans="1:2">
      <c r="A331" s="67" t="s">
        <v>876</v>
      </c>
      <c r="B331" s="68" t="s">
        <v>1546</v>
      </c>
    </row>
    <row r="332" spans="1:2">
      <c r="A332" s="67" t="s">
        <v>876</v>
      </c>
      <c r="B332" s="68" t="s">
        <v>1570</v>
      </c>
    </row>
    <row r="333" spans="1:2">
      <c r="A333" s="67" t="s">
        <v>877</v>
      </c>
      <c r="B333" s="68" t="s">
        <v>1546</v>
      </c>
    </row>
    <row r="334" spans="1:2">
      <c r="A334" s="67" t="s">
        <v>877</v>
      </c>
      <c r="B334" s="68" t="s">
        <v>1570</v>
      </c>
    </row>
    <row r="335" spans="1:2">
      <c r="A335" s="67" t="s">
        <v>879</v>
      </c>
      <c r="B335" s="68" t="s">
        <v>1546</v>
      </c>
    </row>
    <row r="336" spans="1:2">
      <c r="A336" s="67" t="s">
        <v>881</v>
      </c>
      <c r="B336" s="68" t="s">
        <v>1546</v>
      </c>
    </row>
    <row r="337" spans="1:2">
      <c r="A337" s="67" t="s">
        <v>883</v>
      </c>
      <c r="B337" s="68" t="s">
        <v>1546</v>
      </c>
    </row>
    <row r="338" spans="1:2">
      <c r="A338" s="67" t="s">
        <v>885</v>
      </c>
      <c r="B338" s="68" t="s">
        <v>1546</v>
      </c>
    </row>
    <row r="339" spans="1:2">
      <c r="A339" s="67" t="s">
        <v>885</v>
      </c>
      <c r="B339" s="68" t="s">
        <v>1570</v>
      </c>
    </row>
    <row r="340" spans="1:2">
      <c r="A340" s="67" t="s">
        <v>885</v>
      </c>
      <c r="B340" s="68" t="s">
        <v>1274</v>
      </c>
    </row>
    <row r="341" spans="1:2">
      <c r="A341" s="67" t="s">
        <v>887</v>
      </c>
      <c r="B341" s="68" t="s">
        <v>1546</v>
      </c>
    </row>
    <row r="342" spans="1:2">
      <c r="A342" s="67" t="s">
        <v>889</v>
      </c>
      <c r="B342" s="68" t="s">
        <v>1546</v>
      </c>
    </row>
    <row r="343" spans="1:2">
      <c r="A343" s="67" t="s">
        <v>889</v>
      </c>
      <c r="B343" s="68" t="s">
        <v>1570</v>
      </c>
    </row>
    <row r="344" spans="1:2">
      <c r="A344" s="67" t="s">
        <v>889</v>
      </c>
      <c r="B344" s="68" t="s">
        <v>1274</v>
      </c>
    </row>
    <row r="345" spans="1:2">
      <c r="A345" s="67" t="s">
        <v>890</v>
      </c>
      <c r="B345" s="68" t="s">
        <v>1546</v>
      </c>
    </row>
    <row r="346" spans="1:2">
      <c r="A346" s="67" t="s">
        <v>890</v>
      </c>
      <c r="B346" s="68" t="s">
        <v>1570</v>
      </c>
    </row>
    <row r="347" spans="1:2">
      <c r="A347" s="67" t="s">
        <v>892</v>
      </c>
      <c r="B347" s="68" t="s">
        <v>1546</v>
      </c>
    </row>
    <row r="348" spans="1:2">
      <c r="A348" s="67" t="s">
        <v>892</v>
      </c>
      <c r="B348" s="68" t="s">
        <v>1570</v>
      </c>
    </row>
    <row r="349" spans="1:2">
      <c r="A349" s="67" t="s">
        <v>893</v>
      </c>
      <c r="B349" s="68" t="s">
        <v>1546</v>
      </c>
    </row>
    <row r="350" spans="1:2">
      <c r="A350" s="67" t="s">
        <v>893</v>
      </c>
      <c r="B350" s="68" t="s">
        <v>1570</v>
      </c>
    </row>
    <row r="351" spans="1:2">
      <c r="A351" s="67" t="s">
        <v>894</v>
      </c>
      <c r="B351" s="68" t="s">
        <v>1546</v>
      </c>
    </row>
    <row r="352" spans="1:2">
      <c r="A352" s="67" t="s">
        <v>894</v>
      </c>
      <c r="B352" s="68" t="s">
        <v>1570</v>
      </c>
    </row>
    <row r="353" spans="1:2">
      <c r="A353" s="67" t="s">
        <v>896</v>
      </c>
      <c r="B353" s="68" t="s">
        <v>1546</v>
      </c>
    </row>
    <row r="354" spans="1:2">
      <c r="A354" s="67" t="s">
        <v>896</v>
      </c>
      <c r="B354" s="68" t="s">
        <v>1274</v>
      </c>
    </row>
    <row r="355" spans="1:2">
      <c r="A355" s="67" t="s">
        <v>898</v>
      </c>
      <c r="B355" s="68" t="s">
        <v>1571</v>
      </c>
    </row>
    <row r="356" spans="1:2">
      <c r="A356" s="67" t="s">
        <v>898</v>
      </c>
      <c r="B356" s="68" t="s">
        <v>1546</v>
      </c>
    </row>
    <row r="357" spans="1:2">
      <c r="A357" s="67" t="s">
        <v>898</v>
      </c>
      <c r="B357" s="68" t="s">
        <v>1570</v>
      </c>
    </row>
    <row r="358" spans="1:2">
      <c r="A358" s="67" t="s">
        <v>899</v>
      </c>
      <c r="B358" s="68" t="s">
        <v>1546</v>
      </c>
    </row>
    <row r="359" spans="1:2">
      <c r="A359" s="67" t="s">
        <v>899</v>
      </c>
      <c r="B359" s="68" t="s">
        <v>1571</v>
      </c>
    </row>
    <row r="360" spans="1:2">
      <c r="A360" s="67"/>
      <c r="B360" s="68"/>
    </row>
    <row r="361" spans="1:2">
      <c r="A361" s="67" t="s">
        <v>901</v>
      </c>
      <c r="B361" s="68" t="s">
        <v>1549</v>
      </c>
    </row>
    <row r="362" spans="1:2">
      <c r="A362" s="67" t="s">
        <v>901</v>
      </c>
      <c r="B362" s="68" t="s">
        <v>1570</v>
      </c>
    </row>
    <row r="363" spans="1:2">
      <c r="A363" s="67" t="s">
        <v>903</v>
      </c>
      <c r="B363" s="68" t="s">
        <v>1549</v>
      </c>
    </row>
    <row r="364" spans="1:2">
      <c r="A364" s="67" t="s">
        <v>903</v>
      </c>
      <c r="B364" s="68" t="s">
        <v>1570</v>
      </c>
    </row>
    <row r="365" spans="1:2">
      <c r="A365" s="67" t="s">
        <v>904</v>
      </c>
      <c r="B365" s="68" t="s">
        <v>1549</v>
      </c>
    </row>
    <row r="366" spans="1:2">
      <c r="A366" s="67" t="s">
        <v>904</v>
      </c>
      <c r="B366" s="68" t="s">
        <v>1570</v>
      </c>
    </row>
    <row r="367" spans="1:2">
      <c r="A367" s="67" t="s">
        <v>906</v>
      </c>
      <c r="B367" s="68" t="s">
        <v>1549</v>
      </c>
    </row>
    <row r="368" spans="1:2">
      <c r="A368" s="67" t="s">
        <v>906</v>
      </c>
      <c r="B368" s="68" t="s">
        <v>1570</v>
      </c>
    </row>
    <row r="369" spans="1:2">
      <c r="A369" s="67" t="s">
        <v>906</v>
      </c>
      <c r="B369" s="68" t="s">
        <v>1274</v>
      </c>
    </row>
    <row r="370" spans="1:2">
      <c r="A370" s="67" t="s">
        <v>908</v>
      </c>
      <c r="B370" s="68" t="s">
        <v>1549</v>
      </c>
    </row>
    <row r="371" spans="1:2">
      <c r="A371" s="67"/>
      <c r="B371" s="68"/>
    </row>
    <row r="372" spans="1:2">
      <c r="A372" s="80" t="s">
        <v>910</v>
      </c>
      <c r="B372" s="68" t="s">
        <v>1553</v>
      </c>
    </row>
    <row r="373" spans="1:2">
      <c r="A373" s="67" t="s">
        <v>912</v>
      </c>
      <c r="B373" s="68" t="s">
        <v>1553</v>
      </c>
    </row>
    <row r="374" spans="1:2">
      <c r="A374" s="67" t="s">
        <v>914</v>
      </c>
      <c r="B374" s="68" t="s">
        <v>1553</v>
      </c>
    </row>
    <row r="375" spans="1:2">
      <c r="A375" s="67" t="s">
        <v>915</v>
      </c>
      <c r="B375" s="68" t="s">
        <v>1553</v>
      </c>
    </row>
    <row r="376" spans="1:2">
      <c r="A376" s="67" t="s">
        <v>917</v>
      </c>
      <c r="B376" s="68" t="s">
        <v>1553</v>
      </c>
    </row>
    <row r="377" spans="1:2">
      <c r="A377" s="67" t="s">
        <v>919</v>
      </c>
      <c r="B377" s="68" t="s">
        <v>1553</v>
      </c>
    </row>
    <row r="378" spans="1:2">
      <c r="A378" s="67" t="s">
        <v>920</v>
      </c>
      <c r="B378" s="68" t="s">
        <v>1553</v>
      </c>
    </row>
    <row r="379" spans="1:2">
      <c r="A379" s="67"/>
      <c r="B379" s="68"/>
    </row>
    <row r="380" spans="1:2">
      <c r="A380" s="67" t="s">
        <v>922</v>
      </c>
      <c r="B380" s="68" t="s">
        <v>1557</v>
      </c>
    </row>
    <row r="381" spans="1:2">
      <c r="A381" s="67" t="s">
        <v>922</v>
      </c>
      <c r="B381" s="68" t="s">
        <v>1585</v>
      </c>
    </row>
    <row r="382" spans="1:2">
      <c r="A382" s="67" t="s">
        <v>922</v>
      </c>
      <c r="B382" s="68" t="s">
        <v>1274</v>
      </c>
    </row>
    <row r="383" spans="1:2">
      <c r="A383" s="67" t="s">
        <v>924</v>
      </c>
      <c r="B383" s="68" t="s">
        <v>1557</v>
      </c>
    </row>
    <row r="384" spans="1:2">
      <c r="A384" s="67" t="s">
        <v>924</v>
      </c>
      <c r="B384" s="68" t="s">
        <v>1586</v>
      </c>
    </row>
    <row r="385" spans="1:2">
      <c r="A385" s="67" t="s">
        <v>924</v>
      </c>
      <c r="B385" s="68" t="s">
        <v>1274</v>
      </c>
    </row>
    <row r="386" spans="1:2">
      <c r="A386" s="67" t="s">
        <v>926</v>
      </c>
      <c r="B386" s="68" t="s">
        <v>1557</v>
      </c>
    </row>
    <row r="387" spans="1:2">
      <c r="A387" s="67" t="s">
        <v>926</v>
      </c>
      <c r="B387" s="68" t="s">
        <v>1586</v>
      </c>
    </row>
    <row r="388" spans="1:2">
      <c r="A388" s="67" t="s">
        <v>926</v>
      </c>
      <c r="B388" s="68" t="s">
        <v>1274</v>
      </c>
    </row>
    <row r="389" spans="1:2">
      <c r="A389" s="67" t="s">
        <v>927</v>
      </c>
      <c r="B389" s="68" t="s">
        <v>1557</v>
      </c>
    </row>
    <row r="390" spans="1:2">
      <c r="A390" s="67" t="s">
        <v>927</v>
      </c>
      <c r="B390" s="68" t="s">
        <v>1584</v>
      </c>
    </row>
    <row r="391" spans="1:2">
      <c r="A391" s="67" t="s">
        <v>927</v>
      </c>
      <c r="B391" s="68" t="s">
        <v>1585</v>
      </c>
    </row>
    <row r="392" spans="1:2">
      <c r="A392" s="67" t="s">
        <v>927</v>
      </c>
      <c r="B392" s="68" t="s">
        <v>1274</v>
      </c>
    </row>
    <row r="393" spans="1:2">
      <c r="A393" s="67" t="s">
        <v>929</v>
      </c>
      <c r="B393" s="68" t="s">
        <v>1550</v>
      </c>
    </row>
    <row r="394" spans="1:2">
      <c r="A394" s="67" t="s">
        <v>929</v>
      </c>
      <c r="B394" s="68" t="s">
        <v>1570</v>
      </c>
    </row>
    <row r="395" spans="1:2">
      <c r="A395" s="67" t="s">
        <v>929</v>
      </c>
      <c r="B395" s="68" t="s">
        <v>1274</v>
      </c>
    </row>
    <row r="396" spans="1:2">
      <c r="A396" s="67" t="s">
        <v>929</v>
      </c>
      <c r="B396" s="68" t="s">
        <v>1292</v>
      </c>
    </row>
    <row r="397" spans="1:2">
      <c r="A397" s="67" t="s">
        <v>931</v>
      </c>
      <c r="B397" s="68" t="s">
        <v>1587</v>
      </c>
    </row>
    <row r="398" spans="1:2">
      <c r="A398" s="67" t="s">
        <v>931</v>
      </c>
      <c r="B398" s="68" t="s">
        <v>1292</v>
      </c>
    </row>
    <row r="399" spans="1:2">
      <c r="A399" s="67" t="s">
        <v>934</v>
      </c>
      <c r="B399" s="68" t="s">
        <v>1587</v>
      </c>
    </row>
    <row r="400" spans="1:2">
      <c r="A400" s="67" t="s">
        <v>934</v>
      </c>
      <c r="B400" s="68" t="s">
        <v>1292</v>
      </c>
    </row>
    <row r="401" spans="1:2">
      <c r="A401" s="67" t="s">
        <v>936</v>
      </c>
      <c r="B401" s="68" t="s">
        <v>1555</v>
      </c>
    </row>
    <row r="402" spans="1:2">
      <c r="A402" s="67" t="s">
        <v>936</v>
      </c>
      <c r="B402" s="68" t="s">
        <v>1570</v>
      </c>
    </row>
    <row r="403" spans="1:2">
      <c r="A403" s="67" t="s">
        <v>936</v>
      </c>
      <c r="B403" s="68" t="s">
        <v>1292</v>
      </c>
    </row>
    <row r="404" spans="1:2">
      <c r="A404" s="67" t="s">
        <v>936</v>
      </c>
      <c r="B404" s="68" t="s">
        <v>1274</v>
      </c>
    </row>
    <row r="405" spans="1:2">
      <c r="A405" s="67" t="s">
        <v>938</v>
      </c>
      <c r="B405" s="68" t="s">
        <v>1582</v>
      </c>
    </row>
    <row r="406" spans="1:2">
      <c r="A406" s="67" t="s">
        <v>938</v>
      </c>
      <c r="B406" s="68" t="s">
        <v>1553</v>
      </c>
    </row>
    <row r="407" spans="1:2">
      <c r="A407" s="67" t="s">
        <v>938</v>
      </c>
      <c r="B407" s="68" t="s">
        <v>1292</v>
      </c>
    </row>
    <row r="408" spans="1:2">
      <c r="A408" s="67" t="s">
        <v>938</v>
      </c>
      <c r="B408" s="68" t="s">
        <v>1274</v>
      </c>
    </row>
    <row r="409" spans="1:2">
      <c r="A409" s="67" t="s">
        <v>941</v>
      </c>
      <c r="B409" s="68" t="s">
        <v>1573</v>
      </c>
    </row>
    <row r="410" spans="1:2">
      <c r="A410" s="67" t="s">
        <v>941</v>
      </c>
      <c r="B410" s="68" t="s">
        <v>1274</v>
      </c>
    </row>
    <row r="411" spans="1:2">
      <c r="A411" s="67" t="s">
        <v>941</v>
      </c>
      <c r="B411" s="68" t="s">
        <v>1292</v>
      </c>
    </row>
    <row r="412" spans="1:2">
      <c r="A412" s="67" t="s">
        <v>941</v>
      </c>
      <c r="B412" s="68" t="s">
        <v>1570</v>
      </c>
    </row>
    <row r="413" spans="1:2">
      <c r="A413" s="67" t="s">
        <v>942</v>
      </c>
      <c r="B413" s="68" t="s">
        <v>1573</v>
      </c>
    </row>
    <row r="414" spans="1:2">
      <c r="A414" s="67" t="s">
        <v>942</v>
      </c>
      <c r="B414" s="68" t="s">
        <v>1570</v>
      </c>
    </row>
    <row r="415" spans="1:2">
      <c r="A415" s="67" t="s">
        <v>942</v>
      </c>
      <c r="B415" s="68" t="s">
        <v>1274</v>
      </c>
    </row>
    <row r="416" spans="1:2">
      <c r="A416" s="67" t="s">
        <v>942</v>
      </c>
      <c r="B416" s="68" t="s">
        <v>1292</v>
      </c>
    </row>
    <row r="417" spans="1:2">
      <c r="A417" s="67" t="s">
        <v>944</v>
      </c>
      <c r="B417" s="68" t="s">
        <v>1573</v>
      </c>
    </row>
    <row r="418" spans="1:2">
      <c r="A418" s="67" t="s">
        <v>944</v>
      </c>
      <c r="B418" s="68" t="s">
        <v>1570</v>
      </c>
    </row>
    <row r="419" spans="1:2">
      <c r="A419" s="67" t="s">
        <v>944</v>
      </c>
      <c r="B419" s="68" t="s">
        <v>1274</v>
      </c>
    </row>
    <row r="420" spans="1:2">
      <c r="A420" s="67" t="s">
        <v>945</v>
      </c>
      <c r="B420" s="68" t="s">
        <v>1573</v>
      </c>
    </row>
    <row r="421" spans="1:2">
      <c r="A421" s="67" t="s">
        <v>945</v>
      </c>
      <c r="B421" s="68" t="s">
        <v>1570</v>
      </c>
    </row>
    <row r="422" spans="1:2">
      <c r="A422" s="67" t="s">
        <v>945</v>
      </c>
      <c r="B422" s="68" t="s">
        <v>1274</v>
      </c>
    </row>
    <row r="423" spans="1:2">
      <c r="A423" s="67" t="s">
        <v>947</v>
      </c>
      <c r="B423" s="68" t="s">
        <v>1573</v>
      </c>
    </row>
    <row r="424" spans="1:2">
      <c r="A424" s="67" t="s">
        <v>947</v>
      </c>
      <c r="B424" s="68" t="s">
        <v>1570</v>
      </c>
    </row>
    <row r="425" spans="1:2">
      <c r="A425" s="67" t="s">
        <v>947</v>
      </c>
      <c r="B425" s="68" t="s">
        <v>1274</v>
      </c>
    </row>
    <row r="426" spans="1:2">
      <c r="A426" s="67" t="s">
        <v>949</v>
      </c>
      <c r="B426" s="68" t="s">
        <v>1573</v>
      </c>
    </row>
    <row r="427" spans="1:2">
      <c r="A427" s="67" t="s">
        <v>949</v>
      </c>
      <c r="B427" s="68" t="s">
        <v>1292</v>
      </c>
    </row>
    <row r="428" spans="1:2">
      <c r="A428" s="67" t="s">
        <v>950</v>
      </c>
      <c r="B428" s="68" t="s">
        <v>1573</v>
      </c>
    </row>
    <row r="429" spans="1:2">
      <c r="A429" s="67" t="s">
        <v>950</v>
      </c>
      <c r="B429" s="68" t="s">
        <v>1292</v>
      </c>
    </row>
    <row r="430" spans="1:2">
      <c r="A430" s="67" t="s">
        <v>951</v>
      </c>
      <c r="B430" s="68" t="s">
        <v>1573</v>
      </c>
    </row>
    <row r="431" spans="1:2">
      <c r="A431" s="67" t="s">
        <v>951</v>
      </c>
      <c r="B431" s="68" t="s">
        <v>1575</v>
      </c>
    </row>
    <row r="432" spans="1:2">
      <c r="A432" s="67" t="s">
        <v>951</v>
      </c>
      <c r="B432" s="68" t="s">
        <v>1292</v>
      </c>
    </row>
    <row r="433" spans="1:2">
      <c r="A433" s="67" t="s">
        <v>953</v>
      </c>
      <c r="B433" s="68" t="s">
        <v>1573</v>
      </c>
    </row>
    <row r="434" spans="1:2">
      <c r="A434" s="67" t="s">
        <v>953</v>
      </c>
      <c r="B434" s="68" t="s">
        <v>1292</v>
      </c>
    </row>
    <row r="435" spans="1:2">
      <c r="A435" s="67"/>
      <c r="B435" s="68"/>
    </row>
    <row r="436" spans="1:2">
      <c r="A436" s="67" t="s">
        <v>954</v>
      </c>
      <c r="B436" s="68" t="s">
        <v>1564</v>
      </c>
    </row>
    <row r="437" spans="1:2">
      <c r="A437" s="67" t="s">
        <v>954</v>
      </c>
      <c r="B437" s="68" t="s">
        <v>1567</v>
      </c>
    </row>
    <row r="438" spans="1:2">
      <c r="A438" s="67" t="s">
        <v>954</v>
      </c>
      <c r="B438" s="68" t="s">
        <v>1577</v>
      </c>
    </row>
    <row r="439" spans="1:2">
      <c r="A439" s="67" t="s">
        <v>954</v>
      </c>
      <c r="B439" s="68" t="s">
        <v>1578</v>
      </c>
    </row>
    <row r="440" spans="1:2">
      <c r="A440" s="67" t="s">
        <v>954</v>
      </c>
      <c r="B440" s="68" t="s">
        <v>1274</v>
      </c>
    </row>
    <row r="441" spans="1:2">
      <c r="A441" s="67" t="s">
        <v>954</v>
      </c>
      <c r="B441" s="68" t="s">
        <v>1292</v>
      </c>
    </row>
    <row r="442" spans="1:2">
      <c r="A442" s="67" t="s">
        <v>956</v>
      </c>
      <c r="B442" s="68" t="s">
        <v>1564</v>
      </c>
    </row>
    <row r="443" spans="1:2">
      <c r="A443" s="67" t="s">
        <v>956</v>
      </c>
      <c r="B443" s="68" t="s">
        <v>1567</v>
      </c>
    </row>
    <row r="444" spans="1:2">
      <c r="A444" s="67" t="s">
        <v>956</v>
      </c>
      <c r="B444" s="68" t="s">
        <v>1577</v>
      </c>
    </row>
    <row r="445" spans="1:2">
      <c r="A445" s="67" t="s">
        <v>956</v>
      </c>
      <c r="B445" s="68" t="s">
        <v>1578</v>
      </c>
    </row>
    <row r="446" spans="1:2">
      <c r="A446" s="67" t="s">
        <v>956</v>
      </c>
      <c r="B446" s="68" t="s">
        <v>1562</v>
      </c>
    </row>
    <row r="447" spans="1:2">
      <c r="A447" s="67" t="s">
        <v>956</v>
      </c>
      <c r="B447" s="68" t="s">
        <v>1292</v>
      </c>
    </row>
    <row r="448" spans="1:2">
      <c r="A448" s="67" t="s">
        <v>956</v>
      </c>
      <c r="B448" s="68" t="s">
        <v>1274</v>
      </c>
    </row>
    <row r="449" spans="1:2">
      <c r="A449" s="67" t="s">
        <v>958</v>
      </c>
      <c r="B449" s="68" t="s">
        <v>1564</v>
      </c>
    </row>
    <row r="450" spans="1:2">
      <c r="A450" s="67" t="s">
        <v>958</v>
      </c>
      <c r="B450" s="68" t="s">
        <v>1567</v>
      </c>
    </row>
    <row r="451" spans="1:2">
      <c r="A451" s="67" t="s">
        <v>958</v>
      </c>
      <c r="B451" s="68" t="s">
        <v>1577</v>
      </c>
    </row>
    <row r="452" spans="1:2">
      <c r="A452" s="67" t="s">
        <v>958</v>
      </c>
      <c r="B452" s="68" t="s">
        <v>1578</v>
      </c>
    </row>
    <row r="453" spans="1:2">
      <c r="A453" s="67" t="s">
        <v>958</v>
      </c>
      <c r="B453" s="68" t="s">
        <v>1562</v>
      </c>
    </row>
    <row r="454" spans="1:2">
      <c r="A454" s="67" t="s">
        <v>958</v>
      </c>
      <c r="B454" s="68" t="s">
        <v>1559</v>
      </c>
    </row>
    <row r="455" spans="1:2">
      <c r="A455" s="67" t="s">
        <v>958</v>
      </c>
      <c r="B455" s="68" t="s">
        <v>1274</v>
      </c>
    </row>
    <row r="456" spans="1:2">
      <c r="A456" s="67" t="s">
        <v>960</v>
      </c>
      <c r="B456" s="68" t="s">
        <v>1559</v>
      </c>
    </row>
    <row r="457" spans="1:2">
      <c r="A457" s="67" t="s">
        <v>960</v>
      </c>
      <c r="B457" s="68" t="s">
        <v>1562</v>
      </c>
    </row>
    <row r="458" spans="1:2">
      <c r="A458" s="67" t="s">
        <v>960</v>
      </c>
      <c r="B458" s="68" t="s">
        <v>1564</v>
      </c>
    </row>
    <row r="459" spans="1:2">
      <c r="A459" s="67" t="s">
        <v>960</v>
      </c>
      <c r="B459" s="68" t="s">
        <v>1274</v>
      </c>
    </row>
    <row r="460" spans="1:2">
      <c r="A460" s="67" t="s">
        <v>962</v>
      </c>
      <c r="B460" s="68" t="s">
        <v>1559</v>
      </c>
    </row>
    <row r="461" spans="1:2">
      <c r="A461" s="67" t="s">
        <v>962</v>
      </c>
      <c r="B461" s="68" t="s">
        <v>1562</v>
      </c>
    </row>
    <row r="462" spans="1:2">
      <c r="A462" s="67" t="s">
        <v>962</v>
      </c>
      <c r="B462" s="68" t="s">
        <v>1564</v>
      </c>
    </row>
    <row r="463" spans="1:2">
      <c r="A463" s="67" t="s">
        <v>962</v>
      </c>
      <c r="B463" s="68" t="s">
        <v>1567</v>
      </c>
    </row>
    <row r="464" spans="1:2">
      <c r="A464" s="67" t="s">
        <v>962</v>
      </c>
      <c r="B464" s="68" t="s">
        <v>1274</v>
      </c>
    </row>
    <row r="465" spans="1:2">
      <c r="A465" s="67" t="s">
        <v>964</v>
      </c>
      <c r="B465" s="68" t="s">
        <v>1559</v>
      </c>
    </row>
    <row r="466" spans="1:2">
      <c r="A466" s="67" t="s">
        <v>964</v>
      </c>
      <c r="B466" s="68" t="s">
        <v>1562</v>
      </c>
    </row>
    <row r="467" spans="1:2">
      <c r="A467" s="67" t="s">
        <v>964</v>
      </c>
      <c r="B467" s="68" t="s">
        <v>1564</v>
      </c>
    </row>
    <row r="468" spans="1:2">
      <c r="A468" s="67" t="s">
        <v>964</v>
      </c>
      <c r="B468" s="68" t="s">
        <v>1274</v>
      </c>
    </row>
    <row r="469" spans="1:2">
      <c r="A469" s="67" t="s">
        <v>966</v>
      </c>
      <c r="B469" s="68" t="s">
        <v>1559</v>
      </c>
    </row>
    <row r="470" spans="1:2">
      <c r="A470" s="67" t="s">
        <v>966</v>
      </c>
      <c r="B470" s="68" t="s">
        <v>1562</v>
      </c>
    </row>
    <row r="471" spans="1:2">
      <c r="A471" s="67" t="s">
        <v>966</v>
      </c>
      <c r="B471" s="68" t="s">
        <v>1564</v>
      </c>
    </row>
    <row r="472" spans="1:2">
      <c r="A472" s="67" t="s">
        <v>966</v>
      </c>
      <c r="B472" s="68" t="s">
        <v>1567</v>
      </c>
    </row>
    <row r="473" spans="1:2">
      <c r="A473" s="67" t="s">
        <v>966</v>
      </c>
      <c r="B473" s="68" t="s">
        <v>1274</v>
      </c>
    </row>
    <row r="474" spans="1:2">
      <c r="A474" s="67" t="s">
        <v>967</v>
      </c>
      <c r="B474" s="68" t="s">
        <v>1559</v>
      </c>
    </row>
    <row r="475" spans="1:2">
      <c r="A475" s="67" t="s">
        <v>967</v>
      </c>
      <c r="B475" s="68" t="s">
        <v>1562</v>
      </c>
    </row>
    <row r="476" spans="1:2">
      <c r="A476" s="67" t="s">
        <v>967</v>
      </c>
      <c r="B476" s="68" t="s">
        <v>1564</v>
      </c>
    </row>
    <row r="477" spans="1:2">
      <c r="A477" s="67" t="s">
        <v>967</v>
      </c>
      <c r="B477" s="68" t="s">
        <v>1567</v>
      </c>
    </row>
    <row r="478" spans="1:2">
      <c r="A478" s="67" t="s">
        <v>967</v>
      </c>
      <c r="B478" s="68" t="s">
        <v>1274</v>
      </c>
    </row>
    <row r="479" spans="1:2">
      <c r="A479" s="67" t="s">
        <v>969</v>
      </c>
      <c r="B479" s="68" t="s">
        <v>1559</v>
      </c>
    </row>
    <row r="480" spans="1:2">
      <c r="A480" s="67" t="s">
        <v>969</v>
      </c>
      <c r="B480" s="68" t="s">
        <v>1562</v>
      </c>
    </row>
    <row r="481" spans="1:2">
      <c r="A481" s="67" t="s">
        <v>969</v>
      </c>
      <c r="B481" s="68" t="s">
        <v>1564</v>
      </c>
    </row>
    <row r="482" spans="1:2">
      <c r="A482" s="67" t="s">
        <v>969</v>
      </c>
      <c r="B482" s="68" t="s">
        <v>1567</v>
      </c>
    </row>
    <row r="483" spans="1:2">
      <c r="A483" s="67" t="s">
        <v>969</v>
      </c>
      <c r="B483" s="68" t="s">
        <v>1274</v>
      </c>
    </row>
    <row r="484" spans="1:2">
      <c r="A484" s="67" t="s">
        <v>971</v>
      </c>
      <c r="B484" s="68" t="s">
        <v>1559</v>
      </c>
    </row>
    <row r="485" spans="1:2">
      <c r="A485" s="67" t="s">
        <v>971</v>
      </c>
      <c r="B485" s="68" t="s">
        <v>1562</v>
      </c>
    </row>
    <row r="486" spans="1:2">
      <c r="A486" s="67" t="s">
        <v>971</v>
      </c>
      <c r="B486" s="68" t="s">
        <v>1564</v>
      </c>
    </row>
    <row r="487" spans="1:2">
      <c r="A487" s="67" t="s">
        <v>971</v>
      </c>
      <c r="B487" s="68" t="s">
        <v>1274</v>
      </c>
    </row>
    <row r="488" spans="1:2">
      <c r="A488" s="67" t="s">
        <v>972</v>
      </c>
      <c r="B488" s="68" t="s">
        <v>1810</v>
      </c>
    </row>
    <row r="489" spans="1:2">
      <c r="A489" s="67" t="s">
        <v>972</v>
      </c>
      <c r="B489" s="68" t="s">
        <v>1559</v>
      </c>
    </row>
    <row r="490" spans="1:2">
      <c r="A490" s="67" t="s">
        <v>972</v>
      </c>
      <c r="B490" s="68" t="s">
        <v>1562</v>
      </c>
    </row>
    <row r="491" spans="1:2">
      <c r="A491" s="67" t="s">
        <v>972</v>
      </c>
      <c r="B491" s="68" t="s">
        <v>1274</v>
      </c>
    </row>
    <row r="492" spans="1:2">
      <c r="A492" s="67" t="s">
        <v>972</v>
      </c>
      <c r="B492" s="68" t="s">
        <v>1564</v>
      </c>
    </row>
    <row r="493" spans="1:2">
      <c r="A493" s="67" t="s">
        <v>974</v>
      </c>
      <c r="B493" s="68" t="s">
        <v>1559</v>
      </c>
    </row>
    <row r="494" spans="1:2">
      <c r="A494" s="67" t="s">
        <v>974</v>
      </c>
      <c r="B494" s="68" t="s">
        <v>1274</v>
      </c>
    </row>
    <row r="495" spans="1:2">
      <c r="A495" s="67" t="s">
        <v>974</v>
      </c>
      <c r="B495" s="68" t="s">
        <v>1562</v>
      </c>
    </row>
    <row r="496" spans="1:2">
      <c r="A496" s="67" t="s">
        <v>974</v>
      </c>
      <c r="B496" s="68" t="s">
        <v>1564</v>
      </c>
    </row>
    <row r="497" spans="1:2">
      <c r="A497" s="67" t="s">
        <v>976</v>
      </c>
      <c r="B497" s="68" t="s">
        <v>1559</v>
      </c>
    </row>
    <row r="498" spans="1:2">
      <c r="A498" s="67" t="s">
        <v>976</v>
      </c>
      <c r="B498" s="68" t="s">
        <v>1562</v>
      </c>
    </row>
    <row r="499" spans="1:2">
      <c r="A499" s="67" t="s">
        <v>976</v>
      </c>
      <c r="B499" s="68" t="s">
        <v>1564</v>
      </c>
    </row>
    <row r="500" spans="1:2">
      <c r="A500" s="67" t="s">
        <v>976</v>
      </c>
      <c r="B500" s="68" t="s">
        <v>1274</v>
      </c>
    </row>
    <row r="501" spans="1:2">
      <c r="A501" s="67" t="s">
        <v>977</v>
      </c>
      <c r="B501" s="68" t="s">
        <v>1559</v>
      </c>
    </row>
    <row r="502" spans="1:2">
      <c r="A502" s="67" t="s">
        <v>977</v>
      </c>
      <c r="B502" s="68" t="s">
        <v>1562</v>
      </c>
    </row>
    <row r="503" spans="1:2">
      <c r="A503" s="67" t="s">
        <v>977</v>
      </c>
      <c r="B503" s="68" t="s">
        <v>1564</v>
      </c>
    </row>
    <row r="504" spans="1:2">
      <c r="A504" s="67" t="s">
        <v>977</v>
      </c>
      <c r="B504" s="68" t="s">
        <v>1567</v>
      </c>
    </row>
    <row r="505" spans="1:2">
      <c r="A505" s="67" t="s">
        <v>977</v>
      </c>
      <c r="B505" s="68" t="s">
        <v>1274</v>
      </c>
    </row>
    <row r="506" spans="1:2">
      <c r="A506" s="67" t="s">
        <v>978</v>
      </c>
      <c r="B506" s="68" t="s">
        <v>1564</v>
      </c>
    </row>
    <row r="507" spans="1:2">
      <c r="A507" s="67" t="s">
        <v>978</v>
      </c>
      <c r="B507" s="68" t="s">
        <v>1567</v>
      </c>
    </row>
    <row r="508" spans="1:2">
      <c r="A508" s="67" t="s">
        <v>978</v>
      </c>
      <c r="B508" s="68" t="s">
        <v>1274</v>
      </c>
    </row>
    <row r="509" spans="1:2">
      <c r="A509" s="67" t="s">
        <v>980</v>
      </c>
      <c r="B509" s="68" t="s">
        <v>1564</v>
      </c>
    </row>
    <row r="510" spans="1:2">
      <c r="A510" s="67" t="s">
        <v>980</v>
      </c>
      <c r="B510" s="68" t="s">
        <v>1567</v>
      </c>
    </row>
    <row r="511" spans="1:2">
      <c r="A511" s="67" t="s">
        <v>980</v>
      </c>
      <c r="B511" s="68" t="s">
        <v>1274</v>
      </c>
    </row>
    <row r="512" spans="1:2">
      <c r="A512" s="67"/>
      <c r="B512" s="68"/>
    </row>
    <row r="513" spans="1:2">
      <c r="A513" s="67" t="s">
        <v>982</v>
      </c>
      <c r="B513" s="68" t="s">
        <v>1580</v>
      </c>
    </row>
    <row r="514" spans="1:2">
      <c r="A514" s="67" t="s">
        <v>982</v>
      </c>
      <c r="B514" s="68" t="s">
        <v>1292</v>
      </c>
    </row>
    <row r="515" spans="1:2">
      <c r="A515" s="67" t="s">
        <v>982</v>
      </c>
      <c r="B515" s="68" t="s">
        <v>1274</v>
      </c>
    </row>
    <row r="516" spans="1:2">
      <c r="A516" s="67" t="s">
        <v>985</v>
      </c>
      <c r="B516" s="68" t="s">
        <v>1593</v>
      </c>
    </row>
    <row r="517" spans="1:2">
      <c r="A517" s="67" t="s">
        <v>985</v>
      </c>
      <c r="B517" s="68" t="s">
        <v>1591</v>
      </c>
    </row>
    <row r="518" spans="1:2">
      <c r="A518" s="67" t="s">
        <v>985</v>
      </c>
      <c r="B518" s="68" t="s">
        <v>1592</v>
      </c>
    </row>
    <row r="519" spans="1:2">
      <c r="A519" s="67" t="s">
        <v>985</v>
      </c>
      <c r="B519" s="68" t="s">
        <v>1292</v>
      </c>
    </row>
    <row r="520" spans="1:2">
      <c r="A520" s="67" t="s">
        <v>988</v>
      </c>
      <c r="B520" s="68" t="s">
        <v>1598</v>
      </c>
    </row>
    <row r="521" spans="1:2">
      <c r="A521" s="67" t="s">
        <v>988</v>
      </c>
      <c r="B521" s="68" t="s">
        <v>1570</v>
      </c>
    </row>
    <row r="522" spans="1:2">
      <c r="A522" s="67" t="s">
        <v>990</v>
      </c>
      <c r="B522" s="68" t="s">
        <v>1598</v>
      </c>
    </row>
    <row r="523" spans="1:2">
      <c r="A523" s="67" t="s">
        <v>990</v>
      </c>
      <c r="B523" s="68" t="s">
        <v>1570</v>
      </c>
    </row>
    <row r="524" spans="1:2">
      <c r="A524" s="67" t="s">
        <v>992</v>
      </c>
      <c r="B524" s="68" t="s">
        <v>1598</v>
      </c>
    </row>
    <row r="525" spans="1:2">
      <c r="A525" s="67" t="s">
        <v>992</v>
      </c>
      <c r="B525" s="68" t="s">
        <v>1570</v>
      </c>
    </row>
    <row r="526" spans="1:2">
      <c r="A526" s="67" t="s">
        <v>994</v>
      </c>
      <c r="B526" s="68" t="s">
        <v>1598</v>
      </c>
    </row>
    <row r="527" spans="1:2">
      <c r="A527" s="67" t="s">
        <v>994</v>
      </c>
      <c r="B527" s="68" t="s">
        <v>1570</v>
      </c>
    </row>
    <row r="528" spans="1:2">
      <c r="A528" s="67" t="s">
        <v>996</v>
      </c>
      <c r="B528" s="68" t="s">
        <v>1598</v>
      </c>
    </row>
    <row r="529" spans="1:2">
      <c r="A529" s="67" t="s">
        <v>996</v>
      </c>
      <c r="B529" s="68" t="s">
        <v>1570</v>
      </c>
    </row>
    <row r="530" spans="1:2">
      <c r="A530" s="67" t="s">
        <v>998</v>
      </c>
      <c r="B530" s="68" t="s">
        <v>1598</v>
      </c>
    </row>
    <row r="531" spans="1:2">
      <c r="A531" s="67" t="s">
        <v>998</v>
      </c>
      <c r="B531" s="68" t="s">
        <v>1570</v>
      </c>
    </row>
    <row r="532" spans="1:2">
      <c r="A532" s="67" t="s">
        <v>1000</v>
      </c>
      <c r="B532" s="68" t="s">
        <v>1598</v>
      </c>
    </row>
    <row r="533" spans="1:2">
      <c r="A533" s="67" t="s">
        <v>1000</v>
      </c>
      <c r="B533" s="68" t="s">
        <v>1570</v>
      </c>
    </row>
    <row r="534" spans="1:2">
      <c r="A534" s="67"/>
      <c r="B534" s="68"/>
    </row>
    <row r="535" spans="1:2">
      <c r="A535" s="67" t="s">
        <v>1002</v>
      </c>
      <c r="B535" s="68" t="s">
        <v>1600</v>
      </c>
    </row>
    <row r="536" spans="1:2">
      <c r="A536" s="67" t="s">
        <v>1002</v>
      </c>
      <c r="B536" s="68" t="s">
        <v>1570</v>
      </c>
    </row>
    <row r="537" spans="1:2">
      <c r="A537" s="67" t="s">
        <v>1004</v>
      </c>
      <c r="B537" s="68" t="s">
        <v>1600</v>
      </c>
    </row>
    <row r="538" spans="1:2">
      <c r="A538" s="67" t="s">
        <v>1004</v>
      </c>
      <c r="B538" s="68" t="s">
        <v>1570</v>
      </c>
    </row>
    <row r="539" spans="1:2">
      <c r="A539" s="67"/>
      <c r="B539" s="68"/>
    </row>
    <row r="540" spans="1:2">
      <c r="A540" s="67" t="s">
        <v>1005</v>
      </c>
      <c r="B540" s="68" t="s">
        <v>1603</v>
      </c>
    </row>
    <row r="541" spans="1:2">
      <c r="A541" s="67" t="s">
        <v>1007</v>
      </c>
      <c r="B541" s="68" t="s">
        <v>1603</v>
      </c>
    </row>
    <row r="542" spans="1:2">
      <c r="A542" s="67" t="s">
        <v>1009</v>
      </c>
      <c r="B542" s="68" t="s">
        <v>1603</v>
      </c>
    </row>
    <row r="543" spans="1:2">
      <c r="A543" s="67" t="s">
        <v>1009</v>
      </c>
      <c r="B543" s="68" t="s">
        <v>1274</v>
      </c>
    </row>
    <row r="544" spans="1:2">
      <c r="A544" s="67" t="s">
        <v>1010</v>
      </c>
      <c r="B544" s="68" t="s">
        <v>1603</v>
      </c>
    </row>
    <row r="545" spans="1:2">
      <c r="A545" s="67" t="s">
        <v>1012</v>
      </c>
      <c r="B545" s="68" t="s">
        <v>1603</v>
      </c>
    </row>
    <row r="546" spans="1:2">
      <c r="A546" s="67" t="s">
        <v>1013</v>
      </c>
      <c r="B546" s="68" t="s">
        <v>1603</v>
      </c>
    </row>
    <row r="547" spans="1:2">
      <c r="A547" s="67" t="s">
        <v>1014</v>
      </c>
      <c r="B547" s="68" t="s">
        <v>1603</v>
      </c>
    </row>
    <row r="548" spans="1:2">
      <c r="A548" s="67" t="s">
        <v>1016</v>
      </c>
      <c r="B548" s="68" t="s">
        <v>1603</v>
      </c>
    </row>
    <row r="549" spans="1:2">
      <c r="A549" s="67" t="s">
        <v>1016</v>
      </c>
      <c r="B549" s="68" t="s">
        <v>1274</v>
      </c>
    </row>
    <row r="550" spans="1:2">
      <c r="A550" s="67" t="s">
        <v>1017</v>
      </c>
      <c r="B550" s="68" t="s">
        <v>1603</v>
      </c>
    </row>
    <row r="551" spans="1:2">
      <c r="A551" s="67" t="s">
        <v>1019</v>
      </c>
      <c r="B551" s="68" t="s">
        <v>1603</v>
      </c>
    </row>
    <row r="552" spans="1:2">
      <c r="A552" s="67" t="s">
        <v>1021</v>
      </c>
      <c r="B552" s="68" t="s">
        <v>1603</v>
      </c>
    </row>
    <row r="553" spans="1:2">
      <c r="A553" s="67" t="s">
        <v>1023</v>
      </c>
      <c r="B553" s="68" t="s">
        <v>1603</v>
      </c>
    </row>
    <row r="554" spans="1:2">
      <c r="A554" s="67" t="s">
        <v>1023</v>
      </c>
      <c r="B554" s="68" t="s">
        <v>1605</v>
      </c>
    </row>
    <row r="555" spans="1:2">
      <c r="A555" s="67"/>
      <c r="B555" s="68"/>
    </row>
    <row r="556" spans="1:2">
      <c r="A556" s="67" t="s">
        <v>1025</v>
      </c>
      <c r="B556" s="68" t="s">
        <v>1604</v>
      </c>
    </row>
    <row r="557" spans="1:2">
      <c r="A557" s="67" t="s">
        <v>1025</v>
      </c>
      <c r="B557" s="68" t="s">
        <v>1274</v>
      </c>
    </row>
    <row r="558" spans="1:2">
      <c r="A558" s="67" t="s">
        <v>1027</v>
      </c>
      <c r="B558" s="68" t="s">
        <v>1604</v>
      </c>
    </row>
    <row r="559" spans="1:2">
      <c r="A559" s="67" t="s">
        <v>1027</v>
      </c>
      <c r="B559" s="68" t="s">
        <v>1274</v>
      </c>
    </row>
    <row r="560" spans="1:2">
      <c r="A560" s="67" t="s">
        <v>1029</v>
      </c>
      <c r="B560" s="68" t="s">
        <v>1604</v>
      </c>
    </row>
    <row r="561" spans="1:2">
      <c r="A561" s="67" t="s">
        <v>1029</v>
      </c>
      <c r="B561" s="68" t="s">
        <v>1274</v>
      </c>
    </row>
    <row r="562" spans="1:2">
      <c r="A562" s="67" t="s">
        <v>1030</v>
      </c>
      <c r="B562" s="68" t="s">
        <v>1604</v>
      </c>
    </row>
    <row r="563" spans="1:2">
      <c r="A563" s="67" t="s">
        <v>1030</v>
      </c>
      <c r="B563" s="68" t="s">
        <v>1274</v>
      </c>
    </row>
    <row r="564" spans="1:2">
      <c r="A564" s="67" t="s">
        <v>1031</v>
      </c>
      <c r="B564" s="68" t="s">
        <v>1604</v>
      </c>
    </row>
    <row r="565" spans="1:2">
      <c r="A565" s="67" t="s">
        <v>1032</v>
      </c>
      <c r="B565" s="68" t="s">
        <v>1604</v>
      </c>
    </row>
    <row r="566" spans="1:2">
      <c r="A566" s="67" t="s">
        <v>1032</v>
      </c>
      <c r="B566" s="68" t="s">
        <v>1274</v>
      </c>
    </row>
    <row r="567" spans="1:2">
      <c r="A567" s="67" t="s">
        <v>1034</v>
      </c>
      <c r="B567" s="68" t="s">
        <v>1604</v>
      </c>
    </row>
    <row r="568" spans="1:2">
      <c r="A568" s="67" t="s">
        <v>1034</v>
      </c>
      <c r="B568" s="68" t="s">
        <v>1274</v>
      </c>
    </row>
    <row r="569" spans="1:2">
      <c r="A569" s="67" t="s">
        <v>1035</v>
      </c>
      <c r="B569" s="68" t="s">
        <v>1811</v>
      </c>
    </row>
    <row r="570" spans="1:2">
      <c r="A570" s="67" t="s">
        <v>1036</v>
      </c>
      <c r="B570" s="68" t="s">
        <v>1604</v>
      </c>
    </row>
    <row r="571" spans="1:2">
      <c r="A571" s="67" t="s">
        <v>1038</v>
      </c>
      <c r="B571" s="68" t="s">
        <v>1604</v>
      </c>
    </row>
    <row r="572" spans="1:2">
      <c r="A572" s="67" t="s">
        <v>1040</v>
      </c>
      <c r="B572" s="68" t="s">
        <v>1604</v>
      </c>
    </row>
    <row r="573" spans="1:2">
      <c r="A573" s="67" t="s">
        <v>1040</v>
      </c>
      <c r="B573" s="68" t="s">
        <v>1274</v>
      </c>
    </row>
    <row r="574" spans="1:2">
      <c r="A574" s="67" t="s">
        <v>1041</v>
      </c>
      <c r="B574" s="68" t="s">
        <v>1604</v>
      </c>
    </row>
    <row r="575" spans="1:2">
      <c r="A575" s="67"/>
      <c r="B575" s="68"/>
    </row>
    <row r="576" spans="1:2">
      <c r="A576" s="67" t="s">
        <v>1043</v>
      </c>
      <c r="B576" s="68" t="s">
        <v>1606</v>
      </c>
    </row>
    <row r="577" spans="1:2">
      <c r="A577" s="67" t="s">
        <v>1043</v>
      </c>
      <c r="B577" s="68" t="s">
        <v>1570</v>
      </c>
    </row>
    <row r="578" spans="1:2">
      <c r="A578" s="67" t="s">
        <v>1046</v>
      </c>
      <c r="B578" s="68" t="s">
        <v>1606</v>
      </c>
    </row>
    <row r="579" spans="1:2">
      <c r="A579" s="67" t="s">
        <v>1046</v>
      </c>
      <c r="B579" s="68" t="s">
        <v>1570</v>
      </c>
    </row>
    <row r="580" spans="1:2">
      <c r="A580" s="67" t="s">
        <v>1046</v>
      </c>
      <c r="B580" s="68" t="s">
        <v>1812</v>
      </c>
    </row>
    <row r="581" spans="1:2">
      <c r="A581" s="67" t="s">
        <v>1048</v>
      </c>
      <c r="B581" s="68" t="s">
        <v>1813</v>
      </c>
    </row>
    <row r="582" spans="1:2">
      <c r="A582" s="67" t="s">
        <v>1050</v>
      </c>
      <c r="B582" s="68" t="s">
        <v>1609</v>
      </c>
    </row>
    <row r="583" spans="1:2">
      <c r="A583" s="67" t="s">
        <v>1050</v>
      </c>
      <c r="B583" s="68" t="s">
        <v>1612</v>
      </c>
    </row>
    <row r="584" spans="1:2">
      <c r="A584" s="67" t="s">
        <v>1050</v>
      </c>
      <c r="B584" s="68" t="s">
        <v>1614</v>
      </c>
    </row>
    <row r="585" spans="1:2">
      <c r="A585" s="67" t="s">
        <v>1053</v>
      </c>
      <c r="B585" s="68" t="s">
        <v>1612</v>
      </c>
    </row>
    <row r="586" spans="1:2">
      <c r="A586" s="67" t="s">
        <v>1053</v>
      </c>
      <c r="B586" s="68" t="s">
        <v>1614</v>
      </c>
    </row>
    <row r="587" spans="1:2">
      <c r="A587" s="67" t="s">
        <v>1054</v>
      </c>
      <c r="B587" s="68" t="s">
        <v>1612</v>
      </c>
    </row>
    <row r="588" spans="1:2">
      <c r="A588" s="67" t="s">
        <v>1054</v>
      </c>
      <c r="B588" s="68" t="s">
        <v>1614</v>
      </c>
    </row>
    <row r="589" spans="1:2">
      <c r="A589" s="67" t="s">
        <v>1056</v>
      </c>
      <c r="B589" s="68" t="s">
        <v>1611</v>
      </c>
    </row>
    <row r="590" spans="1:2">
      <c r="A590" s="67" t="s">
        <v>1058</v>
      </c>
      <c r="B590" s="68" t="s">
        <v>1814</v>
      </c>
    </row>
    <row r="591" spans="1:2">
      <c r="A591" s="67" t="s">
        <v>1060</v>
      </c>
      <c r="B591" s="68" t="s">
        <v>1609</v>
      </c>
    </row>
    <row r="592" spans="1:2">
      <c r="A592" s="67" t="s">
        <v>1061</v>
      </c>
      <c r="B592" s="68" t="s">
        <v>1609</v>
      </c>
    </row>
    <row r="593" spans="1:2">
      <c r="A593" s="67" t="s">
        <v>1062</v>
      </c>
      <c r="B593" s="68" t="s">
        <v>1609</v>
      </c>
    </row>
    <row r="594" spans="1:2">
      <c r="A594" s="67"/>
      <c r="B594" s="68"/>
    </row>
    <row r="595" spans="1:2">
      <c r="A595" s="91" t="s">
        <v>1063</v>
      </c>
      <c r="B595" s="141" t="s">
        <v>1616</v>
      </c>
    </row>
    <row r="596" spans="1:2">
      <c r="A596" s="91" t="s">
        <v>1063</v>
      </c>
      <c r="B596" s="141" t="s">
        <v>1618</v>
      </c>
    </row>
    <row r="597" spans="1:2">
      <c r="A597" s="91" t="s">
        <v>1066</v>
      </c>
      <c r="B597" s="141" t="s">
        <v>1616</v>
      </c>
    </row>
    <row r="598" spans="1:2">
      <c r="A598" s="91" t="s">
        <v>1066</v>
      </c>
      <c r="B598" s="141" t="s">
        <v>1618</v>
      </c>
    </row>
    <row r="599" spans="1:2">
      <c r="A599" s="91" t="s">
        <v>1068</v>
      </c>
      <c r="B599" s="141" t="s">
        <v>1616</v>
      </c>
    </row>
    <row r="600" spans="1:2">
      <c r="A600" s="91" t="s">
        <v>1070</v>
      </c>
      <c r="B600" s="141" t="s">
        <v>1616</v>
      </c>
    </row>
    <row r="601" spans="1:2">
      <c r="A601" s="91" t="s">
        <v>1072</v>
      </c>
      <c r="B601" s="141" t="s">
        <v>1618</v>
      </c>
    </row>
    <row r="602" spans="1:2">
      <c r="A602" s="91" t="s">
        <v>1074</v>
      </c>
      <c r="B602" s="141" t="s">
        <v>1619</v>
      </c>
    </row>
    <row r="603" spans="1:2">
      <c r="A603" s="91" t="s">
        <v>1074</v>
      </c>
      <c r="B603" s="141" t="s">
        <v>1620</v>
      </c>
    </row>
    <row r="604" spans="1:2">
      <c r="A604" s="91" t="s">
        <v>1074</v>
      </c>
      <c r="B604" s="141" t="s">
        <v>1621</v>
      </c>
    </row>
    <row r="605" spans="1:2">
      <c r="A605" s="91"/>
      <c r="B605" s="77"/>
    </row>
    <row r="606" spans="1:2">
      <c r="A606" s="67" t="s">
        <v>1076</v>
      </c>
      <c r="B606" s="68" t="s">
        <v>1622</v>
      </c>
    </row>
    <row r="607" spans="1:2">
      <c r="A607" s="67" t="s">
        <v>1076</v>
      </c>
      <c r="B607" s="68" t="s">
        <v>1623</v>
      </c>
    </row>
    <row r="608" spans="1:2">
      <c r="A608" s="67" t="s">
        <v>1079</v>
      </c>
      <c r="B608" s="68" t="s">
        <v>1622</v>
      </c>
    </row>
    <row r="609" spans="1:2">
      <c r="A609" s="67" t="s">
        <v>1079</v>
      </c>
      <c r="B609" s="68" t="s">
        <v>1623</v>
      </c>
    </row>
    <row r="610" spans="1:2">
      <c r="A610" s="67"/>
      <c r="B610" s="68"/>
    </row>
    <row r="611" spans="1:2">
      <c r="A611" s="67" t="s">
        <v>1081</v>
      </c>
      <c r="B611" s="68" t="s">
        <v>1624</v>
      </c>
    </row>
    <row r="612" spans="1:2">
      <c r="A612" s="67" t="s">
        <v>1081</v>
      </c>
      <c r="B612" s="68" t="s">
        <v>1626</v>
      </c>
    </row>
    <row r="613" spans="1:2">
      <c r="A613" s="67" t="s">
        <v>1084</v>
      </c>
      <c r="B613" s="68" t="s">
        <v>1624</v>
      </c>
    </row>
    <row r="614" spans="1:2">
      <c r="A614" s="67" t="s">
        <v>1084</v>
      </c>
      <c r="B614" s="68" t="s">
        <v>1626</v>
      </c>
    </row>
    <row r="615" spans="1:2">
      <c r="A615" s="67" t="s">
        <v>1086</v>
      </c>
      <c r="B615" s="68" t="s">
        <v>1627</v>
      </c>
    </row>
    <row r="616" spans="1:2">
      <c r="A616" s="67" t="s">
        <v>1088</v>
      </c>
      <c r="B616" s="68" t="s">
        <v>1627</v>
      </c>
    </row>
    <row r="617" spans="1:2">
      <c r="A617" s="67" t="s">
        <v>1090</v>
      </c>
      <c r="B617" s="68" t="s">
        <v>1628</v>
      </c>
    </row>
    <row r="618" spans="1:2">
      <c r="A618" s="67" t="s">
        <v>1092</v>
      </c>
      <c r="B618" s="68" t="s">
        <v>1815</v>
      </c>
    </row>
    <row r="619" spans="1:2">
      <c r="A619" s="67" t="s">
        <v>1093</v>
      </c>
      <c r="B619" s="68" t="s">
        <v>1816</v>
      </c>
    </row>
    <row r="620" spans="1:2">
      <c r="A620" s="67"/>
      <c r="B620" s="68"/>
    </row>
    <row r="621" spans="1:2">
      <c r="A621" s="67" t="s">
        <v>1095</v>
      </c>
      <c r="B621" s="68" t="s">
        <v>1631</v>
      </c>
    </row>
    <row r="622" spans="1:2">
      <c r="A622" s="67" t="s">
        <v>1098</v>
      </c>
      <c r="B622" s="68" t="s">
        <v>1631</v>
      </c>
    </row>
    <row r="623" spans="1:2">
      <c r="A623" s="67" t="s">
        <v>1099</v>
      </c>
      <c r="B623" s="68" t="s">
        <v>1631</v>
      </c>
    </row>
    <row r="624" spans="1:2">
      <c r="A624" s="67" t="s">
        <v>1100</v>
      </c>
      <c r="B624" s="68" t="s">
        <v>1631</v>
      </c>
    </row>
    <row r="625" spans="1:2">
      <c r="A625" s="67" t="s">
        <v>1102</v>
      </c>
      <c r="B625" s="68" t="s">
        <v>1631</v>
      </c>
    </row>
    <row r="626" spans="1:2">
      <c r="A626" s="67" t="s">
        <v>1102</v>
      </c>
      <c r="B626" s="68" t="s">
        <v>1633</v>
      </c>
    </row>
    <row r="627" spans="1:2">
      <c r="A627" s="67"/>
      <c r="B627" s="68"/>
    </row>
    <row r="628" spans="1:2">
      <c r="A628" s="67" t="s">
        <v>1104</v>
      </c>
      <c r="B628" s="68" t="s">
        <v>1634</v>
      </c>
    </row>
    <row r="629" spans="1:2">
      <c r="A629" s="67" t="s">
        <v>1107</v>
      </c>
      <c r="B629" s="68" t="s">
        <v>1636</v>
      </c>
    </row>
    <row r="630" spans="1:2">
      <c r="A630" s="67" t="s">
        <v>1109</v>
      </c>
      <c r="B630" s="68" t="s">
        <v>1636</v>
      </c>
    </row>
    <row r="631" spans="1:2">
      <c r="A631" s="67" t="s">
        <v>1109</v>
      </c>
      <c r="B631" s="68" t="s">
        <v>1637</v>
      </c>
    </row>
    <row r="632" spans="1:2">
      <c r="A632" s="67" t="s">
        <v>1110</v>
      </c>
      <c r="B632" s="68" t="s">
        <v>1636</v>
      </c>
    </row>
    <row r="633" spans="1:2">
      <c r="A633" s="67" t="s">
        <v>1110</v>
      </c>
      <c r="B633" s="68" t="s">
        <v>1637</v>
      </c>
    </row>
    <row r="634" spans="1:2">
      <c r="A634" s="67"/>
      <c r="B634" s="68"/>
    </row>
    <row r="635" spans="1:2">
      <c r="A635" s="67"/>
      <c r="B635" s="68"/>
    </row>
    <row r="636" spans="1:2">
      <c r="A636" s="67"/>
      <c r="B636" s="68"/>
    </row>
    <row r="637" spans="1:2">
      <c r="A637" s="67"/>
      <c r="B637" s="68"/>
    </row>
    <row r="638" spans="1:2">
      <c r="A638" s="67"/>
      <c r="B638" s="68"/>
    </row>
    <row r="639" spans="1:2">
      <c r="A639" s="67"/>
      <c r="B639" s="68"/>
    </row>
    <row r="640" spans="1:2">
      <c r="A640" s="67" t="s">
        <v>1817</v>
      </c>
      <c r="B640" s="68" t="s">
        <v>1639</v>
      </c>
    </row>
    <row r="641" spans="1:2">
      <c r="A641" s="67" t="s">
        <v>1193</v>
      </c>
      <c r="B641" s="68" t="s">
        <v>1641</v>
      </c>
    </row>
    <row r="642" spans="1:2">
      <c r="A642" s="67" t="s">
        <v>1188</v>
      </c>
      <c r="B642" s="68" t="s">
        <v>1641</v>
      </c>
    </row>
    <row r="643" spans="1:2">
      <c r="A643" s="67" t="s">
        <v>1196</v>
      </c>
      <c r="B643" s="68" t="s">
        <v>1639</v>
      </c>
    </row>
    <row r="644" spans="1:2">
      <c r="A644" s="67" t="s">
        <v>1201</v>
      </c>
      <c r="B644" s="68" t="s">
        <v>1642</v>
      </c>
    </row>
    <row r="645" spans="1:2">
      <c r="A645" s="67"/>
      <c r="B645" s="68"/>
    </row>
    <row r="646" spans="1:2">
      <c r="A646" s="67" t="s">
        <v>1111</v>
      </c>
      <c r="B646" s="68" t="s">
        <v>1648</v>
      </c>
    </row>
    <row r="647" spans="1:2">
      <c r="A647" s="67" t="s">
        <v>1111</v>
      </c>
      <c r="B647" s="68" t="s">
        <v>1650</v>
      </c>
    </row>
    <row r="648" spans="1:2">
      <c r="A648" s="67" t="s">
        <v>1111</v>
      </c>
      <c r="B648" s="68" t="s">
        <v>1284</v>
      </c>
    </row>
    <row r="649" spans="1:2">
      <c r="A649" s="67" t="s">
        <v>1117</v>
      </c>
      <c r="B649" s="68" t="s">
        <v>1643</v>
      </c>
    </row>
    <row r="650" spans="1:2">
      <c r="A650" s="67" t="s">
        <v>1117</v>
      </c>
      <c r="B650" s="68" t="s">
        <v>1646</v>
      </c>
    </row>
    <row r="651" spans="1:2">
      <c r="A651" s="67" t="s">
        <v>1122</v>
      </c>
      <c r="B651" s="68" t="s">
        <v>1649</v>
      </c>
    </row>
    <row r="652" spans="1:2">
      <c r="A652" s="67" t="s">
        <v>1122</v>
      </c>
      <c r="B652" s="68" t="s">
        <v>1651</v>
      </c>
    </row>
    <row r="653" spans="1:2">
      <c r="A653" s="67" t="s">
        <v>1125</v>
      </c>
      <c r="B653" s="68" t="s">
        <v>1646</v>
      </c>
    </row>
    <row r="654" spans="1:2">
      <c r="A654" s="67" t="s">
        <v>1125</v>
      </c>
      <c r="B654" s="68" t="s">
        <v>1652</v>
      </c>
    </row>
    <row r="655" spans="1:2">
      <c r="A655" s="67" t="s">
        <v>1128</v>
      </c>
      <c r="B655" s="68" t="s">
        <v>1656</v>
      </c>
    </row>
    <row r="656" spans="1:2">
      <c r="A656" s="67" t="s">
        <v>1128</v>
      </c>
      <c r="B656" s="68" t="s">
        <v>1654</v>
      </c>
    </row>
    <row r="657" spans="1:2">
      <c r="A657" s="91" t="s">
        <v>1132</v>
      </c>
      <c r="B657" s="68" t="s">
        <v>1656</v>
      </c>
    </row>
    <row r="658" spans="1:2">
      <c r="A658" s="91" t="s">
        <v>1132</v>
      </c>
      <c r="B658" s="68" t="s">
        <v>1657</v>
      </c>
    </row>
    <row r="659" spans="1:2">
      <c r="A659" s="91" t="s">
        <v>1132</v>
      </c>
      <c r="B659" s="68" t="s">
        <v>1658</v>
      </c>
    </row>
    <row r="660" spans="1:2">
      <c r="A660" s="91" t="s">
        <v>1132</v>
      </c>
      <c r="B660" s="68" t="s">
        <v>1284</v>
      </c>
    </row>
    <row r="661" spans="1:2">
      <c r="A661" s="91" t="s">
        <v>1136</v>
      </c>
      <c r="B661" s="68" t="s">
        <v>1656</v>
      </c>
    </row>
    <row r="662" spans="1:2">
      <c r="A662" s="91" t="s">
        <v>1136</v>
      </c>
      <c r="B662" s="68" t="s">
        <v>1657</v>
      </c>
    </row>
    <row r="663" spans="1:2">
      <c r="A663" s="91" t="s">
        <v>1136</v>
      </c>
      <c r="B663" s="68" t="s">
        <v>1658</v>
      </c>
    </row>
    <row r="664" spans="1:2">
      <c r="A664" s="91" t="s">
        <v>1136</v>
      </c>
      <c r="B664" s="68" t="s">
        <v>1284</v>
      </c>
    </row>
    <row r="665" spans="1:2">
      <c r="A665" s="91" t="s">
        <v>1139</v>
      </c>
      <c r="B665" s="68" t="s">
        <v>1656</v>
      </c>
    </row>
    <row r="666" spans="1:2">
      <c r="A666" s="91" t="s">
        <v>1139</v>
      </c>
      <c r="B666" s="68" t="s">
        <v>1657</v>
      </c>
    </row>
    <row r="667" spans="1:2">
      <c r="A667" s="91" t="s">
        <v>1139</v>
      </c>
      <c r="B667" s="68" t="s">
        <v>1658</v>
      </c>
    </row>
    <row r="668" spans="1:2">
      <c r="A668" s="91" t="s">
        <v>1139</v>
      </c>
      <c r="B668" s="68" t="s">
        <v>1284</v>
      </c>
    </row>
    <row r="669" spans="1:2">
      <c r="A669" s="91" t="s">
        <v>1142</v>
      </c>
      <c r="B669" s="68" t="s">
        <v>1643</v>
      </c>
    </row>
    <row r="670" spans="1:2">
      <c r="A670" s="91" t="s">
        <v>1142</v>
      </c>
      <c r="B670" s="68" t="s">
        <v>1664</v>
      </c>
    </row>
    <row r="671" spans="1:2">
      <c r="A671" s="91" t="s">
        <v>1142</v>
      </c>
      <c r="B671" s="68" t="s">
        <v>1646</v>
      </c>
    </row>
    <row r="672" spans="1:2">
      <c r="A672" s="91" t="s">
        <v>1146</v>
      </c>
      <c r="B672" s="68" t="s">
        <v>1643</v>
      </c>
    </row>
    <row r="673" spans="1:2">
      <c r="A673" s="91" t="s">
        <v>1146</v>
      </c>
      <c r="B673" s="68" t="s">
        <v>1646</v>
      </c>
    </row>
    <row r="674" spans="1:2">
      <c r="A674" s="91" t="s">
        <v>1146</v>
      </c>
      <c r="B674" s="68" t="s">
        <v>1664</v>
      </c>
    </row>
    <row r="675" spans="1:2">
      <c r="A675" s="91" t="s">
        <v>1149</v>
      </c>
      <c r="B675" s="68" t="s">
        <v>1643</v>
      </c>
    </row>
    <row r="676" spans="1:2">
      <c r="A676" s="91" t="s">
        <v>1149</v>
      </c>
      <c r="B676" s="68" t="s">
        <v>1646</v>
      </c>
    </row>
    <row r="677" spans="1:2">
      <c r="A677" s="91" t="s">
        <v>1149</v>
      </c>
      <c r="B677" s="68" t="s">
        <v>1664</v>
      </c>
    </row>
    <row r="678" spans="1:2">
      <c r="A678" s="91" t="s">
        <v>1151</v>
      </c>
      <c r="B678" s="68" t="s">
        <v>1646</v>
      </c>
    </row>
    <row r="679" spans="1:2">
      <c r="A679" s="91" t="s">
        <v>1151</v>
      </c>
      <c r="B679" s="68" t="s">
        <v>1643</v>
      </c>
    </row>
    <row r="680" spans="1:2">
      <c r="A680" s="91" t="s">
        <v>1151</v>
      </c>
      <c r="B680" s="68" t="s">
        <v>1664</v>
      </c>
    </row>
    <row r="681" spans="1:2">
      <c r="A681" s="91" t="s">
        <v>1154</v>
      </c>
      <c r="B681" s="68" t="s">
        <v>1643</v>
      </c>
    </row>
    <row r="682" spans="1:2">
      <c r="A682" s="91" t="s">
        <v>1154</v>
      </c>
      <c r="B682" s="68" t="s">
        <v>1646</v>
      </c>
    </row>
    <row r="683" spans="1:2">
      <c r="A683" s="91" t="s">
        <v>1154</v>
      </c>
      <c r="B683" s="68" t="s">
        <v>1664</v>
      </c>
    </row>
    <row r="684" spans="1:2">
      <c r="A684" s="91" t="s">
        <v>1157</v>
      </c>
      <c r="B684" s="68" t="s">
        <v>1659</v>
      </c>
    </row>
    <row r="685" spans="1:2">
      <c r="A685" s="91" t="s">
        <v>1157</v>
      </c>
      <c r="B685" s="68" t="s">
        <v>1660</v>
      </c>
    </row>
    <row r="686" spans="1:2">
      <c r="A686" s="91" t="s">
        <v>1157</v>
      </c>
      <c r="B686" s="68" t="s">
        <v>1284</v>
      </c>
    </row>
    <row r="687" spans="1:2">
      <c r="A687" s="91" t="s">
        <v>1161</v>
      </c>
      <c r="B687" s="68" t="s">
        <v>1659</v>
      </c>
    </row>
    <row r="688" spans="1:2">
      <c r="A688" s="91" t="s">
        <v>1161</v>
      </c>
      <c r="B688" s="68" t="s">
        <v>1660</v>
      </c>
    </row>
    <row r="689" spans="1:2">
      <c r="A689" s="91" t="s">
        <v>1161</v>
      </c>
      <c r="B689" s="68" t="s">
        <v>1284</v>
      </c>
    </row>
    <row r="690" spans="1:2">
      <c r="A690" s="91" t="s">
        <v>1161</v>
      </c>
      <c r="B690" s="68" t="s">
        <v>1661</v>
      </c>
    </row>
    <row r="691" spans="1:2">
      <c r="A691" s="91" t="s">
        <v>1164</v>
      </c>
      <c r="B691" s="68" t="s">
        <v>1646</v>
      </c>
    </row>
    <row r="692" spans="1:2">
      <c r="A692" s="91" t="s">
        <v>1164</v>
      </c>
      <c r="B692" s="68" t="s">
        <v>1643</v>
      </c>
    </row>
    <row r="693" spans="1:2">
      <c r="A693" s="91" t="s">
        <v>1164</v>
      </c>
      <c r="B693" s="68" t="s">
        <v>1652</v>
      </c>
    </row>
    <row r="694" spans="1:2">
      <c r="A694" s="91" t="s">
        <v>1167</v>
      </c>
      <c r="B694" s="68" t="s">
        <v>1662</v>
      </c>
    </row>
    <row r="695" spans="1:2">
      <c r="A695" s="91" t="s">
        <v>1167</v>
      </c>
      <c r="B695" s="68" t="s">
        <v>1663</v>
      </c>
    </row>
    <row r="696" spans="1:2">
      <c r="A696" s="91" t="s">
        <v>1170</v>
      </c>
      <c r="B696" s="68" t="s">
        <v>1648</v>
      </c>
    </row>
    <row r="697" spans="1:2">
      <c r="A697" s="91" t="s">
        <v>1173</v>
      </c>
      <c r="B697" s="68" t="s">
        <v>1665</v>
      </c>
    </row>
    <row r="698" spans="1:2">
      <c r="A698" s="91" t="s">
        <v>1173</v>
      </c>
      <c r="B698" s="68" t="s">
        <v>1666</v>
      </c>
    </row>
    <row r="699" spans="1:2">
      <c r="A699" s="91" t="s">
        <v>1173</v>
      </c>
      <c r="B699" s="68" t="s">
        <v>1667</v>
      </c>
    </row>
    <row r="700" spans="1:2">
      <c r="A700" s="91" t="s">
        <v>1173</v>
      </c>
      <c r="B700" s="68" t="s">
        <v>1284</v>
      </c>
    </row>
    <row r="701" spans="1:2">
      <c r="A701" s="91" t="s">
        <v>1176</v>
      </c>
      <c r="B701" s="68" t="s">
        <v>1668</v>
      </c>
    </row>
    <row r="702" spans="1:2">
      <c r="A702" s="91" t="s">
        <v>1176</v>
      </c>
      <c r="B702" s="68" t="s">
        <v>1669</v>
      </c>
    </row>
    <row r="703" spans="1:2">
      <c r="A703" s="91" t="s">
        <v>1176</v>
      </c>
      <c r="B703" s="68" t="s">
        <v>1670</v>
      </c>
    </row>
    <row r="704" spans="1:2">
      <c r="A704" s="91" t="s">
        <v>1176</v>
      </c>
      <c r="B704" s="68" t="s">
        <v>1671</v>
      </c>
    </row>
    <row r="705" spans="1:2">
      <c r="A705" s="91" t="s">
        <v>1180</v>
      </c>
      <c r="B705" s="68" t="s">
        <v>1675</v>
      </c>
    </row>
    <row r="706" spans="1:2">
      <c r="A706" s="91" t="s">
        <v>1180</v>
      </c>
      <c r="B706" s="68" t="s">
        <v>1284</v>
      </c>
    </row>
    <row r="707" spans="1:2">
      <c r="A707" s="91" t="s">
        <v>1185</v>
      </c>
      <c r="B707" s="68" t="s">
        <v>1672</v>
      </c>
    </row>
    <row r="708" spans="1:2">
      <c r="A708" s="91" t="s">
        <v>1185</v>
      </c>
      <c r="B708" s="68" t="s">
        <v>1673</v>
      </c>
    </row>
    <row r="709" spans="1:2">
      <c r="A709" s="91" t="s">
        <v>1185</v>
      </c>
      <c r="B709" s="68" t="s">
        <v>1674</v>
      </c>
    </row>
    <row r="710" spans="1:2">
      <c r="A710" s="91" t="s">
        <v>1185</v>
      </c>
      <c r="B710" s="68" t="s">
        <v>1284</v>
      </c>
    </row>
    <row r="711" spans="1:2">
      <c r="A711" s="77"/>
      <c r="B711" s="68"/>
    </row>
    <row r="712" spans="1:2">
      <c r="A712" s="77"/>
      <c r="B712" s="68"/>
    </row>
    <row r="713" spans="1:2">
      <c r="A713" s="67"/>
      <c r="B713" s="68"/>
    </row>
    <row r="714" spans="1:2">
      <c r="A714" s="67"/>
      <c r="B714" s="68"/>
    </row>
    <row r="715" spans="1:2">
      <c r="A715" s="67"/>
      <c r="B715" s="68"/>
    </row>
    <row r="716" spans="1:2">
      <c r="A716" s="67"/>
      <c r="B716" s="68"/>
    </row>
    <row r="717" spans="1:2">
      <c r="A717" s="67"/>
      <c r="B717" s="68"/>
    </row>
    <row r="718" spans="1:2">
      <c r="A718" s="67" t="s">
        <v>1198</v>
      </c>
      <c r="B718" s="68" t="s">
        <v>1679</v>
      </c>
    </row>
    <row r="719" spans="1:2">
      <c r="A719" s="67" t="s">
        <v>1204</v>
      </c>
      <c r="B719" s="68" t="s">
        <v>1681</v>
      </c>
    </row>
    <row r="720" spans="1:2">
      <c r="A720" s="67" t="s">
        <v>1208</v>
      </c>
      <c r="B720" s="68" t="s">
        <v>1682</v>
      </c>
    </row>
    <row r="721" spans="1:2">
      <c r="A721" s="67" t="s">
        <v>1210</v>
      </c>
      <c r="B721" s="68" t="s">
        <v>1683</v>
      </c>
    </row>
    <row r="722" spans="1:2">
      <c r="A722" s="67" t="s">
        <v>1818</v>
      </c>
      <c r="B722" s="68" t="s">
        <v>1685</v>
      </c>
    </row>
    <row r="723" spans="1:2">
      <c r="A723" s="67" t="s">
        <v>1214</v>
      </c>
      <c r="B723" s="68" t="s">
        <v>1686</v>
      </c>
    </row>
    <row r="724" spans="1:2">
      <c r="A724" s="67"/>
      <c r="B724" s="68"/>
    </row>
    <row r="725" spans="1:2">
      <c r="A725" s="67" t="s">
        <v>431</v>
      </c>
      <c r="B725" s="68" t="s">
        <v>1690</v>
      </c>
    </row>
    <row r="726" spans="1:2">
      <c r="A726" s="67" t="s">
        <v>431</v>
      </c>
      <c r="B726" s="68" t="s">
        <v>1694</v>
      </c>
    </row>
    <row r="727" spans="1:2">
      <c r="A727" s="67" t="s">
        <v>432</v>
      </c>
      <c r="B727" s="68" t="s">
        <v>1690</v>
      </c>
    </row>
    <row r="728" spans="1:2">
      <c r="A728" s="67" t="s">
        <v>432</v>
      </c>
      <c r="B728" s="68" t="s">
        <v>1696</v>
      </c>
    </row>
    <row r="729" spans="1:2">
      <c r="A729" s="67" t="s">
        <v>439</v>
      </c>
      <c r="B729" s="68" t="s">
        <v>1721</v>
      </c>
    </row>
    <row r="730" spans="1:2">
      <c r="A730" s="67" t="s">
        <v>439</v>
      </c>
      <c r="B730" s="68" t="s">
        <v>1688</v>
      </c>
    </row>
    <row r="731" spans="1:2">
      <c r="A731" s="67" t="s">
        <v>440</v>
      </c>
      <c r="B731" s="68" t="s">
        <v>1721</v>
      </c>
    </row>
    <row r="732" spans="1:2">
      <c r="A732" s="67" t="s">
        <v>440</v>
      </c>
      <c r="B732" s="68" t="s">
        <v>1688</v>
      </c>
    </row>
    <row r="733" spans="1:2">
      <c r="A733" s="67" t="s">
        <v>440</v>
      </c>
      <c r="B733" s="68" t="s">
        <v>1719</v>
      </c>
    </row>
    <row r="734" spans="1:2">
      <c r="A734" s="67" t="s">
        <v>444</v>
      </c>
      <c r="B734" s="68" t="s">
        <v>1721</v>
      </c>
    </row>
    <row r="735" spans="1:2">
      <c r="A735" s="67" t="s">
        <v>447</v>
      </c>
      <c r="B735" s="68" t="s">
        <v>1688</v>
      </c>
    </row>
    <row r="736" spans="1:2">
      <c r="A736" s="67" t="s">
        <v>447</v>
      </c>
      <c r="B736" s="68" t="s">
        <v>1721</v>
      </c>
    </row>
    <row r="737" spans="1:2">
      <c r="A737" s="67" t="s">
        <v>447</v>
      </c>
      <c r="B737" s="68" t="s">
        <v>1696</v>
      </c>
    </row>
    <row r="738" spans="1:2">
      <c r="A738" s="67" t="s">
        <v>455</v>
      </c>
      <c r="B738" s="68" t="s">
        <v>1697</v>
      </c>
    </row>
    <row r="739" spans="1:2">
      <c r="A739" s="67" t="s">
        <v>455</v>
      </c>
      <c r="B739" s="68" t="s">
        <v>1699</v>
      </c>
    </row>
    <row r="740" spans="1:2">
      <c r="A740" s="67" t="s">
        <v>455</v>
      </c>
      <c r="B740" s="68" t="s">
        <v>1701</v>
      </c>
    </row>
    <row r="741" spans="1:2">
      <c r="A741" s="67" t="s">
        <v>455</v>
      </c>
      <c r="B741" s="68" t="s">
        <v>1696</v>
      </c>
    </row>
    <row r="742" spans="1:2">
      <c r="A742" s="67" t="s">
        <v>455</v>
      </c>
      <c r="B742" s="68" t="s">
        <v>1688</v>
      </c>
    </row>
    <row r="743" spans="1:2">
      <c r="A743" s="67" t="s">
        <v>456</v>
      </c>
      <c r="B743" s="68" t="s">
        <v>1697</v>
      </c>
    </row>
    <row r="744" spans="1:2">
      <c r="A744" s="67" t="s">
        <v>456</v>
      </c>
      <c r="B744" s="68" t="s">
        <v>1699</v>
      </c>
    </row>
    <row r="745" spans="1:2">
      <c r="A745" s="67" t="s">
        <v>456</v>
      </c>
      <c r="B745" s="68" t="s">
        <v>1701</v>
      </c>
    </row>
    <row r="746" spans="1:2">
      <c r="A746" s="67" t="s">
        <v>456</v>
      </c>
      <c r="B746" s="68" t="s">
        <v>1696</v>
      </c>
    </row>
    <row r="747" spans="1:2">
      <c r="A747" s="67" t="s">
        <v>452</v>
      </c>
      <c r="B747" s="68" t="s">
        <v>1697</v>
      </c>
    </row>
    <row r="748" spans="1:2">
      <c r="A748" s="67" t="s">
        <v>452</v>
      </c>
      <c r="B748" s="68" t="s">
        <v>1699</v>
      </c>
    </row>
    <row r="749" spans="1:2">
      <c r="A749" s="67" t="s">
        <v>452</v>
      </c>
      <c r="B749" s="68" t="s">
        <v>1701</v>
      </c>
    </row>
    <row r="750" spans="1:2">
      <c r="A750" s="67" t="s">
        <v>452</v>
      </c>
      <c r="B750" s="68" t="s">
        <v>1696</v>
      </c>
    </row>
    <row r="751" spans="1:2">
      <c r="A751" s="67" t="s">
        <v>461</v>
      </c>
      <c r="B751" s="68" t="s">
        <v>1723</v>
      </c>
    </row>
    <row r="752" spans="1:2">
      <c r="A752" s="67" t="s">
        <v>461</v>
      </c>
      <c r="B752" s="68" t="s">
        <v>1696</v>
      </c>
    </row>
    <row r="753" spans="1:2">
      <c r="A753" s="67" t="s">
        <v>461</v>
      </c>
      <c r="B753" s="68" t="s">
        <v>1740</v>
      </c>
    </row>
    <row r="754" spans="1:2">
      <c r="A754" s="67" t="s">
        <v>462</v>
      </c>
      <c r="B754" s="68" t="s">
        <v>1723</v>
      </c>
    </row>
    <row r="755" spans="1:2">
      <c r="A755" s="67" t="s">
        <v>462</v>
      </c>
      <c r="B755" s="68" t="s">
        <v>1696</v>
      </c>
    </row>
    <row r="756" spans="1:2">
      <c r="A756" s="67" t="s">
        <v>462</v>
      </c>
      <c r="B756" s="68" t="s">
        <v>1725</v>
      </c>
    </row>
    <row r="757" spans="1:2">
      <c r="A757" s="67" t="s">
        <v>465</v>
      </c>
      <c r="B757" s="68" t="s">
        <v>1723</v>
      </c>
    </row>
    <row r="758" spans="1:2">
      <c r="A758" s="67" t="s">
        <v>465</v>
      </c>
      <c r="B758" s="68" t="s">
        <v>1696</v>
      </c>
    </row>
    <row r="759" spans="1:2">
      <c r="A759" s="67" t="s">
        <v>465</v>
      </c>
      <c r="B759" s="68" t="s">
        <v>1725</v>
      </c>
    </row>
    <row r="760" spans="1:2">
      <c r="A760" s="67" t="s">
        <v>465</v>
      </c>
      <c r="B760" s="68" t="s">
        <v>1726</v>
      </c>
    </row>
    <row r="761" spans="1:2">
      <c r="A761" s="67" t="s">
        <v>465</v>
      </c>
      <c r="B761" s="68" t="s">
        <v>1740</v>
      </c>
    </row>
    <row r="762" spans="1:2">
      <c r="A762" s="67" t="s">
        <v>468</v>
      </c>
      <c r="B762" s="68" t="s">
        <v>1696</v>
      </c>
    </row>
    <row r="763" spans="1:2">
      <c r="A763" s="67" t="s">
        <v>468</v>
      </c>
      <c r="B763" s="68" t="s">
        <v>1728</v>
      </c>
    </row>
    <row r="764" spans="1:2">
      <c r="A764" s="67" t="s">
        <v>468</v>
      </c>
      <c r="B764" s="68" t="s">
        <v>1723</v>
      </c>
    </row>
    <row r="765" spans="1:2">
      <c r="A765" s="67" t="s">
        <v>468</v>
      </c>
      <c r="B765" s="68" t="s">
        <v>1726</v>
      </c>
    </row>
    <row r="766" spans="1:2">
      <c r="A766" s="67" t="s">
        <v>474</v>
      </c>
      <c r="B766" s="68" t="s">
        <v>1723</v>
      </c>
    </row>
    <row r="767" spans="1:2">
      <c r="A767" s="67" t="s">
        <v>474</v>
      </c>
      <c r="B767" s="68" t="s">
        <v>1726</v>
      </c>
    </row>
    <row r="768" spans="1:2">
      <c r="A768" s="67" t="s">
        <v>474</v>
      </c>
      <c r="B768" s="68" t="s">
        <v>1696</v>
      </c>
    </row>
    <row r="769" spans="1:2">
      <c r="A769" s="67" t="s">
        <v>471</v>
      </c>
      <c r="B769" s="68" t="s">
        <v>1696</v>
      </c>
    </row>
    <row r="770" spans="1:2">
      <c r="A770" s="67" t="s">
        <v>471</v>
      </c>
      <c r="B770" s="68" t="s">
        <v>1723</v>
      </c>
    </row>
    <row r="771" spans="1:2">
      <c r="A771" s="67" t="s">
        <v>477</v>
      </c>
      <c r="B771" s="68" t="s">
        <v>1696</v>
      </c>
    </row>
    <row r="772" spans="1:2">
      <c r="A772" s="67" t="s">
        <v>477</v>
      </c>
      <c r="B772" s="68" t="s">
        <v>1723</v>
      </c>
    </row>
    <row r="773" spans="1:2">
      <c r="A773" s="67" t="s">
        <v>477</v>
      </c>
      <c r="B773" s="68" t="s">
        <v>1728</v>
      </c>
    </row>
    <row r="774" spans="1:2">
      <c r="A774" s="67" t="s">
        <v>477</v>
      </c>
      <c r="B774" s="68" t="s">
        <v>1740</v>
      </c>
    </row>
    <row r="775" spans="1:2">
      <c r="A775" s="67" t="s">
        <v>477</v>
      </c>
      <c r="B775" s="68" t="s">
        <v>1725</v>
      </c>
    </row>
    <row r="776" spans="1:2">
      <c r="A776" s="67" t="s">
        <v>480</v>
      </c>
      <c r="B776" s="68" t="s">
        <v>1696</v>
      </c>
    </row>
    <row r="777" spans="1:2">
      <c r="A777" s="67" t="s">
        <v>480</v>
      </c>
      <c r="B777" s="68" t="s">
        <v>1725</v>
      </c>
    </row>
    <row r="778" spans="1:2">
      <c r="A778" s="67" t="s">
        <v>480</v>
      </c>
      <c r="B778" s="68" t="s">
        <v>1728</v>
      </c>
    </row>
    <row r="779" spans="1:2">
      <c r="A779" s="67" t="s">
        <v>480</v>
      </c>
      <c r="B779" s="68" t="s">
        <v>1723</v>
      </c>
    </row>
    <row r="780" spans="1:2">
      <c r="A780" s="67" t="s">
        <v>480</v>
      </c>
      <c r="B780" s="68" t="s">
        <v>1726</v>
      </c>
    </row>
    <row r="781" spans="1:2">
      <c r="A781" s="67" t="s">
        <v>480</v>
      </c>
      <c r="B781" s="68" t="s">
        <v>1740</v>
      </c>
    </row>
    <row r="782" spans="1:2">
      <c r="A782" s="67" t="s">
        <v>485</v>
      </c>
      <c r="B782" s="68" t="s">
        <v>1704</v>
      </c>
    </row>
    <row r="783" spans="1:2">
      <c r="A783" s="67" t="s">
        <v>485</v>
      </c>
      <c r="B783" s="68" t="s">
        <v>1719</v>
      </c>
    </row>
    <row r="784" spans="1:2">
      <c r="A784" s="67" t="s">
        <v>485</v>
      </c>
      <c r="B784" s="68" t="s">
        <v>1712</v>
      </c>
    </row>
    <row r="785" spans="1:2">
      <c r="A785" s="67" t="s">
        <v>485</v>
      </c>
      <c r="B785" s="68" t="s">
        <v>1696</v>
      </c>
    </row>
    <row r="786" spans="1:2">
      <c r="A786" s="67" t="s">
        <v>485</v>
      </c>
      <c r="B786" s="68" t="s">
        <v>1688</v>
      </c>
    </row>
    <row r="787" spans="1:2">
      <c r="A787" s="67" t="s">
        <v>488</v>
      </c>
      <c r="B787" s="68" t="s">
        <v>1688</v>
      </c>
    </row>
    <row r="788" spans="1:2">
      <c r="A788" s="67" t="s">
        <v>488</v>
      </c>
      <c r="B788" s="68" t="s">
        <v>1696</v>
      </c>
    </row>
    <row r="789" spans="1:2">
      <c r="A789" s="67" t="s">
        <v>488</v>
      </c>
      <c r="B789" s="68" t="s">
        <v>1697</v>
      </c>
    </row>
    <row r="790" spans="1:2">
      <c r="A790" s="67" t="s">
        <v>488</v>
      </c>
      <c r="B790" s="68" t="s">
        <v>1699</v>
      </c>
    </row>
    <row r="791" spans="1:2">
      <c r="A791" s="67" t="s">
        <v>488</v>
      </c>
      <c r="B791" s="68" t="s">
        <v>1701</v>
      </c>
    </row>
    <row r="792" spans="1:2">
      <c r="A792" s="67" t="s">
        <v>491</v>
      </c>
      <c r="B792" s="68" t="s">
        <v>1696</v>
      </c>
    </row>
    <row r="793" spans="1:2">
      <c r="A793" s="67" t="s">
        <v>491</v>
      </c>
      <c r="B793" s="68" t="s">
        <v>1725</v>
      </c>
    </row>
    <row r="794" spans="1:2">
      <c r="A794" s="67" t="s">
        <v>491</v>
      </c>
      <c r="B794" s="68" t="s">
        <v>1726</v>
      </c>
    </row>
    <row r="795" spans="1:2">
      <c r="A795" s="67" t="s">
        <v>491</v>
      </c>
      <c r="B795" s="68" t="s">
        <v>1723</v>
      </c>
    </row>
    <row r="796" spans="1:2">
      <c r="A796" s="67" t="s">
        <v>491</v>
      </c>
      <c r="B796" s="68" t="s">
        <v>1737</v>
      </c>
    </row>
    <row r="797" spans="1:2">
      <c r="A797" s="67" t="s">
        <v>492</v>
      </c>
      <c r="B797" s="68" t="s">
        <v>1696</v>
      </c>
    </row>
    <row r="798" spans="1:2">
      <c r="A798" s="67" t="s">
        <v>492</v>
      </c>
      <c r="B798" s="68" t="s">
        <v>1726</v>
      </c>
    </row>
    <row r="799" spans="1:2">
      <c r="A799" s="67" t="s">
        <v>492</v>
      </c>
      <c r="B799" s="68" t="s">
        <v>1723</v>
      </c>
    </row>
    <row r="800" spans="1:2">
      <c r="A800" s="67" t="s">
        <v>492</v>
      </c>
      <c r="B800" s="68" t="s">
        <v>1737</v>
      </c>
    </row>
    <row r="801" spans="1:2">
      <c r="A801" s="67" t="s">
        <v>497</v>
      </c>
      <c r="B801" s="68" t="s">
        <v>1696</v>
      </c>
    </row>
    <row r="802" spans="1:2">
      <c r="A802" s="67" t="s">
        <v>497</v>
      </c>
      <c r="B802" s="68" t="s">
        <v>1742</v>
      </c>
    </row>
    <row r="803" spans="1:2">
      <c r="A803" s="67" t="s">
        <v>497</v>
      </c>
      <c r="B803" s="68" t="s">
        <v>1744</v>
      </c>
    </row>
    <row r="804" spans="1:2">
      <c r="A804" s="67" t="s">
        <v>497</v>
      </c>
      <c r="B804" s="68" t="s">
        <v>1746</v>
      </c>
    </row>
    <row r="805" spans="1:2">
      <c r="A805" s="67" t="s">
        <v>497</v>
      </c>
      <c r="B805" s="68" t="s">
        <v>1750</v>
      </c>
    </row>
    <row r="806" spans="1:2">
      <c r="A806" s="67" t="s">
        <v>498</v>
      </c>
      <c r="B806" s="68" t="s">
        <v>1696</v>
      </c>
    </row>
    <row r="807" spans="1:2">
      <c r="A807" s="67" t="s">
        <v>498</v>
      </c>
      <c r="B807" s="68" t="s">
        <v>1742</v>
      </c>
    </row>
    <row r="808" spans="1:2">
      <c r="A808" s="67" t="s">
        <v>498</v>
      </c>
      <c r="B808" s="68" t="s">
        <v>1744</v>
      </c>
    </row>
    <row r="809" spans="1:2">
      <c r="A809" s="67" t="s">
        <v>501</v>
      </c>
      <c r="B809" s="68" t="s">
        <v>1696</v>
      </c>
    </row>
    <row r="810" spans="1:2">
      <c r="A810" s="67" t="s">
        <v>501</v>
      </c>
      <c r="B810" s="68" t="s">
        <v>1742</v>
      </c>
    </row>
    <row r="811" spans="1:2">
      <c r="A811" s="67" t="s">
        <v>501</v>
      </c>
      <c r="B811" s="68" t="s">
        <v>1744</v>
      </c>
    </row>
    <row r="812" spans="1:2">
      <c r="A812" s="67" t="s">
        <v>501</v>
      </c>
      <c r="B812" s="68" t="s">
        <v>1746</v>
      </c>
    </row>
    <row r="813" spans="1:2">
      <c r="A813" s="67" t="s">
        <v>501</v>
      </c>
      <c r="B813" s="68" t="s">
        <v>1750</v>
      </c>
    </row>
    <row r="814" spans="1:2">
      <c r="A814" s="67" t="s">
        <v>507</v>
      </c>
      <c r="B814" s="68" t="s">
        <v>1750</v>
      </c>
    </row>
    <row r="815" spans="1:2">
      <c r="A815" s="67" t="s">
        <v>507</v>
      </c>
      <c r="B815" s="68" t="s">
        <v>1744</v>
      </c>
    </row>
    <row r="816" spans="1:2">
      <c r="A816" s="67" t="s">
        <v>508</v>
      </c>
      <c r="B816" s="68" t="s">
        <v>1744</v>
      </c>
    </row>
    <row r="817" spans="1:2">
      <c r="A817" s="67" t="s">
        <v>508</v>
      </c>
      <c r="B817" s="68" t="s">
        <v>1742</v>
      </c>
    </row>
    <row r="818" spans="1:2">
      <c r="A818" s="67" t="s">
        <v>508</v>
      </c>
      <c r="B818" s="68" t="s">
        <v>1696</v>
      </c>
    </row>
    <row r="819" spans="1:2">
      <c r="A819" s="67" t="s">
        <v>513</v>
      </c>
      <c r="B819" s="68" t="s">
        <v>1696</v>
      </c>
    </row>
    <row r="820" spans="1:2">
      <c r="A820" s="67" t="s">
        <v>513</v>
      </c>
      <c r="B820" s="68" t="s">
        <v>1744</v>
      </c>
    </row>
    <row r="821" spans="1:2">
      <c r="A821" s="67" t="s">
        <v>513</v>
      </c>
      <c r="B821" s="68" t="s">
        <v>1748</v>
      </c>
    </row>
    <row r="822" spans="1:2">
      <c r="A822" s="67" t="s">
        <v>513</v>
      </c>
      <c r="B822" s="68" t="s">
        <v>1750</v>
      </c>
    </row>
    <row r="823" spans="1:2">
      <c r="A823" s="67" t="s">
        <v>504</v>
      </c>
      <c r="B823" s="68" t="s">
        <v>1750</v>
      </c>
    </row>
    <row r="824" spans="1:2">
      <c r="A824" s="67" t="s">
        <v>504</v>
      </c>
      <c r="B824" s="68" t="s">
        <v>1696</v>
      </c>
    </row>
    <row r="825" spans="1:2">
      <c r="A825" s="67" t="s">
        <v>504</v>
      </c>
      <c r="B825" s="68" t="s">
        <v>1742</v>
      </c>
    </row>
    <row r="826" spans="1:2">
      <c r="A826" s="67" t="s">
        <v>504</v>
      </c>
      <c r="B826" s="68" t="s">
        <v>1744</v>
      </c>
    </row>
    <row r="827" spans="1:2">
      <c r="A827" s="67" t="s">
        <v>504</v>
      </c>
      <c r="B827" s="68" t="s">
        <v>1746</v>
      </c>
    </row>
    <row r="828" spans="1:2">
      <c r="A828" s="67" t="s">
        <v>504</v>
      </c>
      <c r="B828" s="68" t="s">
        <v>1748</v>
      </c>
    </row>
    <row r="829" spans="1:2">
      <c r="A829" s="67" t="s">
        <v>518</v>
      </c>
      <c r="B829" s="68" t="s">
        <v>1696</v>
      </c>
    </row>
    <row r="830" spans="1:2">
      <c r="A830" s="67" t="s">
        <v>518</v>
      </c>
      <c r="B830" s="68" t="s">
        <v>1735</v>
      </c>
    </row>
    <row r="831" spans="1:2">
      <c r="A831" s="67"/>
      <c r="B831" s="68"/>
    </row>
    <row r="832" spans="1:2">
      <c r="A832" s="67" t="s">
        <v>526</v>
      </c>
      <c r="B832" s="68" t="s">
        <v>1750</v>
      </c>
    </row>
    <row r="833" spans="1:2">
      <c r="A833" s="67" t="s">
        <v>526</v>
      </c>
      <c r="B833" s="68" t="s">
        <v>1696</v>
      </c>
    </row>
    <row r="834" spans="1:2">
      <c r="A834" s="67" t="s">
        <v>526</v>
      </c>
      <c r="B834" s="68" t="s">
        <v>1742</v>
      </c>
    </row>
    <row r="835" spans="1:2">
      <c r="A835" s="67" t="s">
        <v>526</v>
      </c>
      <c r="B835" s="68" t="s">
        <v>1744</v>
      </c>
    </row>
    <row r="836" spans="1:2">
      <c r="A836" s="67" t="s">
        <v>526</v>
      </c>
      <c r="B836" s="68" t="s">
        <v>1746</v>
      </c>
    </row>
    <row r="837" spans="1:2">
      <c r="A837" s="67" t="s">
        <v>526</v>
      </c>
      <c r="B837" s="68" t="s">
        <v>1748</v>
      </c>
    </row>
    <row r="838" spans="1:2">
      <c r="A838" s="67" t="s">
        <v>527</v>
      </c>
      <c r="B838" s="68" t="s">
        <v>1750</v>
      </c>
    </row>
    <row r="839" spans="1:2">
      <c r="A839" s="67" t="s">
        <v>527</v>
      </c>
      <c r="B839" s="68" t="s">
        <v>1696</v>
      </c>
    </row>
    <row r="840" spans="1:2">
      <c r="A840" s="67" t="s">
        <v>527</v>
      </c>
      <c r="B840" s="68" t="s">
        <v>1742</v>
      </c>
    </row>
    <row r="841" spans="1:2">
      <c r="A841" s="67" t="s">
        <v>527</v>
      </c>
      <c r="B841" s="68" t="s">
        <v>1744</v>
      </c>
    </row>
    <row r="842" spans="1:2">
      <c r="A842" s="67" t="s">
        <v>527</v>
      </c>
      <c r="B842" s="68" t="s">
        <v>1746</v>
      </c>
    </row>
    <row r="843" spans="1:2">
      <c r="A843" s="67" t="s">
        <v>527</v>
      </c>
      <c r="B843" s="68" t="s">
        <v>1748</v>
      </c>
    </row>
    <row r="844" spans="1:2">
      <c r="A844" s="67" t="s">
        <v>533</v>
      </c>
      <c r="B844" s="68" t="s">
        <v>1726</v>
      </c>
    </row>
    <row r="845" spans="1:2">
      <c r="A845" s="67" t="s">
        <v>534</v>
      </c>
      <c r="B845" s="68" t="s">
        <v>1726</v>
      </c>
    </row>
    <row r="846" spans="1:2">
      <c r="A846" s="67" t="s">
        <v>537</v>
      </c>
      <c r="B846" s="68" t="s">
        <v>1726</v>
      </c>
    </row>
    <row r="847" spans="1:2">
      <c r="A847" s="67" t="s">
        <v>540</v>
      </c>
      <c r="B847" s="68" t="s">
        <v>1726</v>
      </c>
    </row>
    <row r="848" spans="1:2">
      <c r="A848" s="67" t="s">
        <v>543</v>
      </c>
      <c r="B848" s="68" t="s">
        <v>1726</v>
      </c>
    </row>
    <row r="849" spans="1:2">
      <c r="A849" s="67" t="s">
        <v>546</v>
      </c>
      <c r="B849" s="68" t="s">
        <v>1726</v>
      </c>
    </row>
    <row r="850" spans="1:2">
      <c r="A850" s="67" t="s">
        <v>1819</v>
      </c>
      <c r="B850" s="68" t="s">
        <v>1726</v>
      </c>
    </row>
    <row r="851" spans="1:2">
      <c r="A851" s="67" t="s">
        <v>549</v>
      </c>
      <c r="B851" s="68" t="s">
        <v>1726</v>
      </c>
    </row>
    <row r="852" spans="1:2">
      <c r="A852" s="67" t="s">
        <v>552</v>
      </c>
      <c r="B852" s="68" t="s">
        <v>1726</v>
      </c>
    </row>
    <row r="853" spans="1:2">
      <c r="A853" s="67" t="s">
        <v>555</v>
      </c>
      <c r="B853" s="68" t="s">
        <v>1726</v>
      </c>
    </row>
    <row r="854" spans="1:2">
      <c r="A854" s="67" t="s">
        <v>560</v>
      </c>
      <c r="B854" s="68" t="s">
        <v>1731</v>
      </c>
    </row>
    <row r="855" spans="1:2">
      <c r="A855" s="67" t="s">
        <v>561</v>
      </c>
      <c r="B855" s="68" t="s">
        <v>1731</v>
      </c>
    </row>
    <row r="856" spans="1:2">
      <c r="A856" s="67" t="s">
        <v>564</v>
      </c>
      <c r="B856" s="68" t="s">
        <v>1731</v>
      </c>
    </row>
    <row r="857" spans="1:2">
      <c r="A857" s="67" t="s">
        <v>567</v>
      </c>
      <c r="B857" s="68" t="s">
        <v>1731</v>
      </c>
    </row>
    <row r="858" spans="1:2">
      <c r="A858" s="67" t="s">
        <v>570</v>
      </c>
      <c r="B858" s="68" t="s">
        <v>1731</v>
      </c>
    </row>
    <row r="859" spans="1:2">
      <c r="A859" s="67" t="s">
        <v>573</v>
      </c>
      <c r="B859" s="68" t="s">
        <v>1731</v>
      </c>
    </row>
    <row r="860" spans="1:2">
      <c r="A860" s="67" t="s">
        <v>578</v>
      </c>
      <c r="B860" s="68" t="s">
        <v>1735</v>
      </c>
    </row>
    <row r="861" spans="1:2">
      <c r="A861" s="67" t="s">
        <v>579</v>
      </c>
      <c r="B861" s="68" t="s">
        <v>1735</v>
      </c>
    </row>
    <row r="862" spans="1:2">
      <c r="A862" s="67" t="s">
        <v>582</v>
      </c>
      <c r="B862" s="68" t="s">
        <v>1735</v>
      </c>
    </row>
    <row r="863" spans="1:2">
      <c r="A863" s="67" t="s">
        <v>587</v>
      </c>
      <c r="B863" s="68" t="s">
        <v>1731</v>
      </c>
    </row>
    <row r="864" spans="1:2">
      <c r="A864" s="67" t="s">
        <v>589</v>
      </c>
      <c r="B864" s="68" t="s">
        <v>1723</v>
      </c>
    </row>
    <row r="865" spans="1:2">
      <c r="A865" s="67" t="s">
        <v>590</v>
      </c>
      <c r="B865" s="68" t="s">
        <v>1723</v>
      </c>
    </row>
    <row r="866" spans="1:2">
      <c r="A866" s="67" t="s">
        <v>593</v>
      </c>
      <c r="B866" s="68" t="s">
        <v>1723</v>
      </c>
    </row>
    <row r="867" spans="1:2">
      <c r="A867" s="67" t="s">
        <v>596</v>
      </c>
      <c r="B867" s="68" t="s">
        <v>1723</v>
      </c>
    </row>
    <row r="868" spans="1:2">
      <c r="A868" s="67" t="s">
        <v>599</v>
      </c>
      <c r="B868" s="68" t="s">
        <v>1723</v>
      </c>
    </row>
    <row r="869" spans="1:2">
      <c r="A869" s="67" t="s">
        <v>602</v>
      </c>
      <c r="B869" s="68" t="s">
        <v>1723</v>
      </c>
    </row>
    <row r="870" spans="1:2">
      <c r="A870" s="67" t="s">
        <v>604</v>
      </c>
      <c r="B870" s="68" t="s">
        <v>1723</v>
      </c>
    </row>
    <row r="871" spans="1:2">
      <c r="A871" s="67" t="s">
        <v>607</v>
      </c>
      <c r="B871" s="68" t="s">
        <v>1723</v>
      </c>
    </row>
    <row r="872" spans="1:2">
      <c r="A872" s="67" t="s">
        <v>610</v>
      </c>
      <c r="B872" s="68" t="s">
        <v>1723</v>
      </c>
    </row>
    <row r="873" spans="1:2">
      <c r="A873" s="67" t="s">
        <v>613</v>
      </c>
      <c r="B873" s="68" t="s">
        <v>1723</v>
      </c>
    </row>
    <row r="874" spans="1:2">
      <c r="A874" s="67" t="s">
        <v>618</v>
      </c>
      <c r="B874" s="68" t="s">
        <v>1721</v>
      </c>
    </row>
    <row r="875" spans="1:2">
      <c r="A875" s="67" t="s">
        <v>619</v>
      </c>
      <c r="B875" s="68" t="s">
        <v>1704</v>
      </c>
    </row>
    <row r="876" spans="1:2">
      <c r="A876" s="67" t="s">
        <v>522</v>
      </c>
      <c r="B876" s="68" t="s">
        <v>1753</v>
      </c>
    </row>
    <row r="877" spans="1:2">
      <c r="A877" s="67" t="s">
        <v>522</v>
      </c>
      <c r="B877" s="68" t="s">
        <v>1696</v>
      </c>
    </row>
    <row r="878" spans="1:2">
      <c r="A878" s="67" t="s">
        <v>522</v>
      </c>
      <c r="B878" s="68" t="s">
        <v>1704</v>
      </c>
    </row>
    <row r="879" spans="1:2">
      <c r="A879" s="67" t="s">
        <v>522</v>
      </c>
      <c r="B879" s="68" t="s">
        <v>1707</v>
      </c>
    </row>
    <row r="880" spans="1:2">
      <c r="A880" s="67" t="s">
        <v>522</v>
      </c>
      <c r="B880" s="68" t="s">
        <v>1710</v>
      </c>
    </row>
    <row r="881" spans="1:2">
      <c r="A881" s="67" t="s">
        <v>522</v>
      </c>
      <c r="B881" s="68" t="s">
        <v>1712</v>
      </c>
    </row>
    <row r="882" spans="1:2">
      <c r="A882" s="67" t="s">
        <v>522</v>
      </c>
      <c r="B882" s="68" t="s">
        <v>1715</v>
      </c>
    </row>
    <row r="883" spans="1:2">
      <c r="A883" s="67" t="s">
        <v>522</v>
      </c>
      <c r="B883" s="68" t="s">
        <v>1688</v>
      </c>
    </row>
    <row r="884" spans="1:2">
      <c r="A884" s="67" t="s">
        <v>522</v>
      </c>
      <c r="B884" s="68" t="s">
        <v>1717</v>
      </c>
    </row>
    <row r="885" spans="1:2">
      <c r="A885" s="67" t="s">
        <v>624</v>
      </c>
      <c r="B885" s="68" t="s">
        <v>1697</v>
      </c>
    </row>
    <row r="886" spans="1:2">
      <c r="A886" s="67" t="s">
        <v>625</v>
      </c>
      <c r="B886" s="68" t="s">
        <v>1697</v>
      </c>
    </row>
    <row r="887" spans="1:2">
      <c r="A887" s="67" t="s">
        <v>628</v>
      </c>
      <c r="B887" s="68" t="s">
        <v>1697</v>
      </c>
    </row>
    <row r="888" spans="1:2">
      <c r="A888" s="67" t="s">
        <v>631</v>
      </c>
      <c r="B888" s="68" t="s">
        <v>1697</v>
      </c>
    </row>
    <row r="889" spans="1:2">
      <c r="A889" s="67" t="s">
        <v>636</v>
      </c>
      <c r="B889" s="68" t="s">
        <v>1697</v>
      </c>
    </row>
    <row r="890" spans="1:2">
      <c r="A890" s="67" t="s">
        <v>638</v>
      </c>
      <c r="B890" s="68" t="s">
        <v>1755</v>
      </c>
    </row>
    <row r="891" spans="1:2">
      <c r="A891" s="67" t="s">
        <v>638</v>
      </c>
      <c r="B891" s="68" t="s">
        <v>1688</v>
      </c>
    </row>
    <row r="892" spans="1:2">
      <c r="A892" s="67" t="s">
        <v>638</v>
      </c>
      <c r="B892" s="68" t="s">
        <v>1696</v>
      </c>
    </row>
    <row r="893" spans="1:2">
      <c r="A893" s="67" t="s">
        <v>638</v>
      </c>
      <c r="B893" s="68" t="s">
        <v>1757</v>
      </c>
    </row>
    <row r="894" spans="1:2">
      <c r="A894" s="67" t="s">
        <v>639</v>
      </c>
      <c r="B894" s="68" t="s">
        <v>1755</v>
      </c>
    </row>
    <row r="895" spans="1:2">
      <c r="A895" s="67" t="s">
        <v>639</v>
      </c>
      <c r="B895" s="68" t="s">
        <v>1688</v>
      </c>
    </row>
    <row r="896" spans="1:2">
      <c r="A896" s="67" t="s">
        <v>639</v>
      </c>
      <c r="B896" s="68" t="s">
        <v>1696</v>
      </c>
    </row>
    <row r="897" spans="1:2">
      <c r="A897" s="67" t="s">
        <v>639</v>
      </c>
      <c r="B897" s="68" t="s">
        <v>1757</v>
      </c>
    </row>
    <row r="898" spans="1:2">
      <c r="A898" s="67" t="s">
        <v>644</v>
      </c>
      <c r="B898" s="68" t="s">
        <v>1755</v>
      </c>
    </row>
    <row r="899" spans="1:2">
      <c r="A899" s="67" t="s">
        <v>644</v>
      </c>
      <c r="B899" s="68" t="s">
        <v>1688</v>
      </c>
    </row>
    <row r="900" spans="1:2">
      <c r="A900" s="67" t="s">
        <v>644</v>
      </c>
      <c r="B900" s="68" t="s">
        <v>1696</v>
      </c>
    </row>
    <row r="901" spans="1:2">
      <c r="A901" s="67" t="s">
        <v>644</v>
      </c>
      <c r="B901" s="68" t="s">
        <v>1757</v>
      </c>
    </row>
    <row r="902" spans="1:2">
      <c r="A902" s="67" t="s">
        <v>645</v>
      </c>
      <c r="B902" s="68" t="s">
        <v>1755</v>
      </c>
    </row>
    <row r="903" spans="1:2">
      <c r="A903" s="64" t="s">
        <v>645</v>
      </c>
      <c r="B903" s="68" t="s">
        <v>1688</v>
      </c>
    </row>
    <row r="904" spans="1:2">
      <c r="A904" s="64" t="s">
        <v>645</v>
      </c>
      <c r="B904" s="68" t="s">
        <v>1696</v>
      </c>
    </row>
    <row r="905" spans="1:2">
      <c r="A905" s="64" t="s">
        <v>645</v>
      </c>
      <c r="B905" s="68" t="s">
        <v>1757</v>
      </c>
    </row>
    <row r="906" spans="1:2">
      <c r="A906" s="67" t="s">
        <v>650</v>
      </c>
      <c r="B906" s="68" t="s">
        <v>1755</v>
      </c>
    </row>
    <row r="907" spans="1:2">
      <c r="A907" s="67" t="s">
        <v>650</v>
      </c>
      <c r="B907" s="68" t="s">
        <v>1688</v>
      </c>
    </row>
    <row r="908" spans="1:2">
      <c r="A908" s="67" t="s">
        <v>650</v>
      </c>
      <c r="B908" s="68" t="s">
        <v>1696</v>
      </c>
    </row>
    <row r="909" spans="1:2">
      <c r="A909" s="67" t="s">
        <v>650</v>
      </c>
      <c r="B909" s="68" t="s">
        <v>1757</v>
      </c>
    </row>
    <row r="910" spans="1:2">
      <c r="A910" s="67" t="s">
        <v>652</v>
      </c>
      <c r="B910" s="68" t="s">
        <v>1759</v>
      </c>
    </row>
    <row r="911" spans="1:2">
      <c r="A911" s="67" t="s">
        <v>652</v>
      </c>
      <c r="B911" s="68" t="s">
        <v>1696</v>
      </c>
    </row>
    <row r="912" spans="1:2">
      <c r="A912" s="67" t="s">
        <v>653</v>
      </c>
      <c r="B912" s="68" t="s">
        <v>1759</v>
      </c>
    </row>
    <row r="913" spans="1:2">
      <c r="A913" s="67" t="s">
        <v>653</v>
      </c>
      <c r="B913" s="68" t="s">
        <v>1696</v>
      </c>
    </row>
    <row r="914" spans="1:2">
      <c r="A914" s="67" t="s">
        <v>658</v>
      </c>
      <c r="B914" s="68" t="s">
        <v>1759</v>
      </c>
    </row>
    <row r="915" spans="1:2">
      <c r="A915" s="67" t="s">
        <v>658</v>
      </c>
      <c r="B915" s="68" t="s">
        <v>1696</v>
      </c>
    </row>
    <row r="916" spans="1:2">
      <c r="A916" s="67" t="s">
        <v>659</v>
      </c>
      <c r="B916" s="68" t="s">
        <v>1759</v>
      </c>
    </row>
    <row r="917" spans="1:2">
      <c r="A917" s="67" t="s">
        <v>659</v>
      </c>
      <c r="B917" s="68" t="s">
        <v>1696</v>
      </c>
    </row>
    <row r="918" spans="1:2">
      <c r="A918" s="67" t="s">
        <v>661</v>
      </c>
      <c r="B918" s="68" t="s">
        <v>1759</v>
      </c>
    </row>
    <row r="919" spans="1:2">
      <c r="A919" s="67" t="s">
        <v>661</v>
      </c>
      <c r="B919" s="68" t="s">
        <v>1696</v>
      </c>
    </row>
    <row r="920" spans="1:2">
      <c r="A920" s="67" t="s">
        <v>665</v>
      </c>
      <c r="B920" s="68" t="s">
        <v>1761</v>
      </c>
    </row>
    <row r="921" spans="1:2">
      <c r="A921" s="67" t="s">
        <v>666</v>
      </c>
      <c r="B921" s="68" t="s">
        <v>1761</v>
      </c>
    </row>
    <row r="922" spans="1:2">
      <c r="A922" s="67" t="s">
        <v>670</v>
      </c>
      <c r="B922" s="68" t="s">
        <v>1761</v>
      </c>
    </row>
    <row r="923" spans="1:2">
      <c r="A923" s="67" t="s">
        <v>673</v>
      </c>
      <c r="B923" s="68" t="s">
        <v>1761</v>
      </c>
    </row>
    <row r="924" spans="1:2">
      <c r="A924" s="67" t="s">
        <v>676</v>
      </c>
      <c r="B924" s="68" t="s">
        <v>1761</v>
      </c>
    </row>
    <row r="925" spans="1:2">
      <c r="A925" s="67" t="s">
        <v>679</v>
      </c>
      <c r="B925" s="68" t="s">
        <v>1761</v>
      </c>
    </row>
    <row r="926" spans="1:2">
      <c r="A926" s="67" t="s">
        <v>684</v>
      </c>
      <c r="B926" s="68" t="s">
        <v>1761</v>
      </c>
    </row>
    <row r="927" spans="1:2">
      <c r="A927" s="67"/>
      <c r="B927" s="68"/>
    </row>
    <row r="928" spans="1:2">
      <c r="A928" s="67" t="s">
        <v>687</v>
      </c>
      <c r="B928" s="68" t="s">
        <v>1486</v>
      </c>
    </row>
    <row r="929" spans="1:2">
      <c r="A929" s="67" t="s">
        <v>687</v>
      </c>
      <c r="B929" s="68" t="s">
        <v>1489</v>
      </c>
    </row>
    <row r="930" spans="1:2">
      <c r="A930" s="67" t="s">
        <v>687</v>
      </c>
      <c r="B930" s="68" t="s">
        <v>1491</v>
      </c>
    </row>
    <row r="931" spans="1:2">
      <c r="A931" s="67" t="s">
        <v>692</v>
      </c>
      <c r="B931" s="68" t="s">
        <v>1486</v>
      </c>
    </row>
    <row r="932" spans="1:2">
      <c r="A932" s="67" t="s">
        <v>692</v>
      </c>
      <c r="B932" s="68" t="s">
        <v>1489</v>
      </c>
    </row>
    <row r="933" spans="1:2">
      <c r="A933" s="67" t="s">
        <v>692</v>
      </c>
      <c r="B933" s="68" t="s">
        <v>1491</v>
      </c>
    </row>
    <row r="934" spans="1:2">
      <c r="A934" s="67" t="s">
        <v>695</v>
      </c>
      <c r="B934" s="68" t="s">
        <v>1486</v>
      </c>
    </row>
    <row r="935" spans="1:2">
      <c r="A935" s="67" t="s">
        <v>695</v>
      </c>
      <c r="B935" s="68" t="s">
        <v>1489</v>
      </c>
    </row>
    <row r="936" spans="1:2">
      <c r="A936" s="67" t="s">
        <v>695</v>
      </c>
      <c r="B936" s="68" t="s">
        <v>1491</v>
      </c>
    </row>
    <row r="937" spans="1:2">
      <c r="A937" s="67" t="s">
        <v>698</v>
      </c>
      <c r="B937" s="68" t="s">
        <v>1486</v>
      </c>
    </row>
    <row r="938" spans="1:2">
      <c r="A938" s="67" t="s">
        <v>698</v>
      </c>
      <c r="B938" s="68" t="s">
        <v>1489</v>
      </c>
    </row>
    <row r="939" spans="1:2">
      <c r="A939" s="67" t="s">
        <v>698</v>
      </c>
      <c r="B939" s="68" t="s">
        <v>1491</v>
      </c>
    </row>
    <row r="940" spans="1:2">
      <c r="A940" s="67" t="s">
        <v>699</v>
      </c>
      <c r="B940" s="68" t="s">
        <v>1486</v>
      </c>
    </row>
    <row r="941" spans="1:2">
      <c r="A941" s="67" t="s">
        <v>699</v>
      </c>
      <c r="B941" s="68" t="s">
        <v>1489</v>
      </c>
    </row>
    <row r="942" spans="1:2">
      <c r="A942" s="67" t="s">
        <v>699</v>
      </c>
      <c r="B942" s="68" t="s">
        <v>1491</v>
      </c>
    </row>
    <row r="943" spans="1:2">
      <c r="A943" s="67" t="s">
        <v>721</v>
      </c>
      <c r="B943" s="68" t="s">
        <v>1496</v>
      </c>
    </row>
    <row r="944" spans="1:2">
      <c r="A944" s="67" t="s">
        <v>721</v>
      </c>
      <c r="B944" s="68" t="s">
        <v>1511</v>
      </c>
    </row>
    <row r="945" spans="1:2">
      <c r="A945" s="67" t="s">
        <v>722</v>
      </c>
      <c r="B945" s="68" t="s">
        <v>1496</v>
      </c>
    </row>
    <row r="946" spans="1:2">
      <c r="A946" s="67" t="s">
        <v>722</v>
      </c>
      <c r="B946" s="68" t="s">
        <v>1511</v>
      </c>
    </row>
    <row r="947" spans="1:2">
      <c r="A947" s="67" t="s">
        <v>725</v>
      </c>
      <c r="B947" s="68" t="s">
        <v>1496</v>
      </c>
    </row>
    <row r="948" spans="1:2">
      <c r="A948" s="67" t="s">
        <v>725</v>
      </c>
      <c r="B948" s="68" t="s">
        <v>1511</v>
      </c>
    </row>
    <row r="949" spans="1:2">
      <c r="A949" s="67" t="s">
        <v>728</v>
      </c>
      <c r="B949" s="68" t="s">
        <v>1496</v>
      </c>
    </row>
    <row r="950" spans="1:2">
      <c r="A950" s="67" t="s">
        <v>728</v>
      </c>
      <c r="B950" s="68" t="s">
        <v>1511</v>
      </c>
    </row>
    <row r="951" spans="1:2">
      <c r="A951" s="67" t="s">
        <v>730</v>
      </c>
      <c r="B951" s="68" t="s">
        <v>1496</v>
      </c>
    </row>
    <row r="952" spans="1:2">
      <c r="A952" s="67" t="s">
        <v>730</v>
      </c>
      <c r="B952" s="68" t="s">
        <v>1511</v>
      </c>
    </row>
    <row r="953" spans="1:2">
      <c r="A953" s="67" t="s">
        <v>732</v>
      </c>
      <c r="B953" s="68" t="s">
        <v>1496</v>
      </c>
    </row>
    <row r="954" spans="1:2">
      <c r="A954" s="67" t="s">
        <v>732</v>
      </c>
      <c r="B954" s="68" t="s">
        <v>1511</v>
      </c>
    </row>
    <row r="955" spans="1:2">
      <c r="A955" s="67" t="s">
        <v>736</v>
      </c>
      <c r="B955" s="68" t="s">
        <v>1496</v>
      </c>
    </row>
    <row r="956" spans="1:2">
      <c r="A956" s="67" t="s">
        <v>736</v>
      </c>
      <c r="B956" s="68" t="s">
        <v>1514</v>
      </c>
    </row>
    <row r="957" spans="1:2">
      <c r="A957" s="67" t="s">
        <v>739</v>
      </c>
      <c r="B957" s="68" t="s">
        <v>1496</v>
      </c>
    </row>
    <row r="958" spans="1:2">
      <c r="A958" s="67" t="s">
        <v>739</v>
      </c>
      <c r="B958" s="68" t="s">
        <v>1500</v>
      </c>
    </row>
    <row r="959" spans="1:2">
      <c r="A959" s="67" t="s">
        <v>739</v>
      </c>
      <c r="B959" s="68" t="s">
        <v>1516</v>
      </c>
    </row>
    <row r="960" spans="1:2">
      <c r="A960" s="67" t="s">
        <v>740</v>
      </c>
      <c r="B960" s="68" t="s">
        <v>1496</v>
      </c>
    </row>
    <row r="961" spans="1:2">
      <c r="A961" s="64" t="s">
        <v>740</v>
      </c>
      <c r="B961" s="68" t="s">
        <v>1500</v>
      </c>
    </row>
    <row r="962" spans="1:2">
      <c r="A962" s="64" t="s">
        <v>740</v>
      </c>
      <c r="B962" s="68" t="s">
        <v>1516</v>
      </c>
    </row>
    <row r="963" spans="1:2">
      <c r="A963" s="64" t="s">
        <v>743</v>
      </c>
      <c r="B963" s="68" t="s">
        <v>1516</v>
      </c>
    </row>
    <row r="964" spans="1:2" ht="15">
      <c r="A964" s="64" t="s">
        <v>743</v>
      </c>
      <c r="B964" s="68" t="s">
        <v>1496</v>
      </c>
    </row>
    <row r="965" spans="1:2" ht="15">
      <c r="A965" s="64" t="s">
        <v>743</v>
      </c>
      <c r="B965" s="68" t="s">
        <v>1500</v>
      </c>
    </row>
    <row r="966" spans="1:2" ht="15">
      <c r="A966" s="64" t="s">
        <v>743</v>
      </c>
      <c r="B966" s="68" t="s">
        <v>1537</v>
      </c>
    </row>
    <row r="967" spans="1:2">
      <c r="A967" s="64" t="s">
        <v>746</v>
      </c>
      <c r="B967" s="68" t="s">
        <v>1516</v>
      </c>
    </row>
    <row r="968" spans="1:2">
      <c r="A968" s="64" t="s">
        <v>749</v>
      </c>
      <c r="B968" s="68" t="s">
        <v>1516</v>
      </c>
    </row>
    <row r="969" spans="1:2">
      <c r="A969" s="64" t="s">
        <v>752</v>
      </c>
      <c r="B969" s="68" t="s">
        <v>1516</v>
      </c>
    </row>
    <row r="970" spans="1:2">
      <c r="A970" s="64" t="s">
        <v>755</v>
      </c>
      <c r="B970" s="68" t="s">
        <v>1516</v>
      </c>
    </row>
    <row r="971" spans="1:2">
      <c r="A971" s="67" t="s">
        <v>704</v>
      </c>
      <c r="B971" s="68" t="s">
        <v>1500</v>
      </c>
    </row>
    <row r="972" spans="1:2">
      <c r="A972" s="67" t="s">
        <v>704</v>
      </c>
      <c r="B972" s="68" t="s">
        <v>1496</v>
      </c>
    </row>
    <row r="973" spans="1:2">
      <c r="A973" s="67" t="s">
        <v>704</v>
      </c>
      <c r="B973" s="68" t="s">
        <v>1519</v>
      </c>
    </row>
    <row r="974" spans="1:2">
      <c r="A974" s="67" t="s">
        <v>705</v>
      </c>
      <c r="B974" s="68" t="s">
        <v>1500</v>
      </c>
    </row>
    <row r="975" spans="1:2">
      <c r="A975" s="67" t="s">
        <v>705</v>
      </c>
      <c r="B975" s="68" t="s">
        <v>1496</v>
      </c>
    </row>
    <row r="976" spans="1:2">
      <c r="A976" s="67" t="s">
        <v>705</v>
      </c>
      <c r="B976" s="68" t="s">
        <v>1519</v>
      </c>
    </row>
    <row r="977" spans="1:2">
      <c r="A977" s="67" t="s">
        <v>707</v>
      </c>
      <c r="B977" s="68" t="s">
        <v>1500</v>
      </c>
    </row>
    <row r="978" spans="1:2">
      <c r="A978" s="67" t="s">
        <v>707</v>
      </c>
      <c r="B978" s="68" t="s">
        <v>1496</v>
      </c>
    </row>
    <row r="979" spans="1:2">
      <c r="A979" s="67" t="s">
        <v>707</v>
      </c>
      <c r="B979" s="68" t="s">
        <v>1519</v>
      </c>
    </row>
    <row r="980" spans="1:2">
      <c r="A980" s="67" t="s">
        <v>710</v>
      </c>
      <c r="B980" s="68" t="s">
        <v>1500</v>
      </c>
    </row>
    <row r="981" spans="1:2">
      <c r="A981" s="67" t="s">
        <v>710</v>
      </c>
      <c r="B981" s="68" t="s">
        <v>1496</v>
      </c>
    </row>
    <row r="982" spans="1:2">
      <c r="A982" s="67" t="s">
        <v>710</v>
      </c>
      <c r="B982" s="68" t="s">
        <v>1519</v>
      </c>
    </row>
    <row r="983" spans="1:2">
      <c r="A983" s="67" t="s">
        <v>715</v>
      </c>
      <c r="B983" s="68" t="s">
        <v>1500</v>
      </c>
    </row>
    <row r="984" spans="1:2">
      <c r="A984" s="67" t="s">
        <v>715</v>
      </c>
      <c r="B984" s="68" t="s">
        <v>1496</v>
      </c>
    </row>
    <row r="985" spans="1:2">
      <c r="A985" s="67" t="s">
        <v>715</v>
      </c>
      <c r="B985" s="68" t="s">
        <v>1507</v>
      </c>
    </row>
    <row r="986" spans="1:2">
      <c r="A986" s="67" t="s">
        <v>716</v>
      </c>
      <c r="B986" s="68" t="s">
        <v>1500</v>
      </c>
    </row>
    <row r="987" spans="1:2">
      <c r="A987" s="67" t="s">
        <v>716</v>
      </c>
      <c r="B987" s="68" t="s">
        <v>1496</v>
      </c>
    </row>
    <row r="988" spans="1:2">
      <c r="A988" s="67" t="s">
        <v>716</v>
      </c>
      <c r="B988" s="68" t="s">
        <v>1507</v>
      </c>
    </row>
    <row r="989" spans="1:2">
      <c r="A989" s="151" t="s">
        <v>759</v>
      </c>
      <c r="B989" s="68" t="s">
        <v>1523</v>
      </c>
    </row>
    <row r="990" spans="1:2">
      <c r="A990" s="151" t="s">
        <v>759</v>
      </c>
      <c r="B990" s="68" t="s">
        <v>1496</v>
      </c>
    </row>
    <row r="991" spans="1:2">
      <c r="A991" s="152" t="s">
        <v>762</v>
      </c>
      <c r="B991" s="68" t="s">
        <v>1496</v>
      </c>
    </row>
    <row r="992" spans="1:2">
      <c r="A992" s="152" t="s">
        <v>762</v>
      </c>
      <c r="B992" s="68" t="s">
        <v>1500</v>
      </c>
    </row>
    <row r="993" spans="1:2">
      <c r="A993" s="152" t="s">
        <v>763</v>
      </c>
      <c r="B993" s="68" t="s">
        <v>1500</v>
      </c>
    </row>
    <row r="994" spans="1:2">
      <c r="A994" s="152" t="s">
        <v>763</v>
      </c>
      <c r="B994" s="68" t="s">
        <v>1537</v>
      </c>
    </row>
    <row r="995" spans="1:2">
      <c r="A995" s="152" t="s">
        <v>766</v>
      </c>
      <c r="B995" s="68" t="s">
        <v>1503</v>
      </c>
    </row>
    <row r="996" spans="1:2">
      <c r="A996" s="152" t="s">
        <v>766</v>
      </c>
      <c r="B996" s="68" t="s">
        <v>1500</v>
      </c>
    </row>
    <row r="997" spans="1:2">
      <c r="A997" s="152" t="s">
        <v>766</v>
      </c>
      <c r="B997" s="68" t="s">
        <v>1537</v>
      </c>
    </row>
    <row r="998" spans="1:2">
      <c r="A998" s="152" t="s">
        <v>771</v>
      </c>
      <c r="B998" s="68" t="s">
        <v>1496</v>
      </c>
    </row>
    <row r="999" spans="1:2">
      <c r="A999" s="152" t="s">
        <v>771</v>
      </c>
      <c r="B999" s="68" t="s">
        <v>1500</v>
      </c>
    </row>
    <row r="1000" spans="1:2">
      <c r="A1000" s="152" t="s">
        <v>771</v>
      </c>
      <c r="B1000" s="68" t="s">
        <v>1519</v>
      </c>
    </row>
    <row r="1001" spans="1:2">
      <c r="A1001" s="152" t="s">
        <v>772</v>
      </c>
      <c r="B1001" s="68" t="s">
        <v>1496</v>
      </c>
    </row>
    <row r="1002" spans="1:2">
      <c r="A1002" s="152" t="s">
        <v>772</v>
      </c>
      <c r="B1002" s="68" t="s">
        <v>1500</v>
      </c>
    </row>
    <row r="1003" spans="1:2">
      <c r="A1003" s="152" t="s">
        <v>772</v>
      </c>
      <c r="B1003" s="68" t="s">
        <v>1519</v>
      </c>
    </row>
    <row r="1004" spans="1:2">
      <c r="A1004" s="152" t="s">
        <v>777</v>
      </c>
      <c r="B1004" s="68" t="s">
        <v>1519</v>
      </c>
    </row>
    <row r="1005" spans="1:2">
      <c r="A1005" s="152" t="s">
        <v>778</v>
      </c>
      <c r="B1005" s="68" t="s">
        <v>1519</v>
      </c>
    </row>
    <row r="1006" spans="1:2">
      <c r="A1006" s="152" t="s">
        <v>781</v>
      </c>
      <c r="B1006" s="68" t="s">
        <v>1519</v>
      </c>
    </row>
    <row r="1007" spans="1:2">
      <c r="A1007" s="152" t="s">
        <v>784</v>
      </c>
      <c r="B1007" s="68" t="s">
        <v>1519</v>
      </c>
    </row>
    <row r="1008" spans="1:2">
      <c r="A1008" s="152" t="s">
        <v>777</v>
      </c>
      <c r="B1008" s="68" t="s">
        <v>1500</v>
      </c>
    </row>
    <row r="1009" spans="1:2">
      <c r="A1009" s="152" t="s">
        <v>777</v>
      </c>
      <c r="B1009" s="64" t="s">
        <v>1496</v>
      </c>
    </row>
    <row r="1010" spans="1:2">
      <c r="A1010" s="152" t="s">
        <v>781</v>
      </c>
      <c r="B1010" s="68" t="s">
        <v>1500</v>
      </c>
    </row>
    <row r="1011" spans="1:2">
      <c r="A1011" s="152" t="s">
        <v>784</v>
      </c>
      <c r="B1011" s="68" t="s">
        <v>1500</v>
      </c>
    </row>
    <row r="1012" spans="1:2">
      <c r="A1012" s="152" t="s">
        <v>784</v>
      </c>
      <c r="B1012" s="68" t="s">
        <v>1496</v>
      </c>
    </row>
    <row r="1013" spans="1:2">
      <c r="A1013" s="152" t="s">
        <v>788</v>
      </c>
      <c r="B1013" s="68" t="s">
        <v>1496</v>
      </c>
    </row>
    <row r="1014" spans="1:2">
      <c r="A1014" s="152" t="s">
        <v>788</v>
      </c>
      <c r="B1014" s="68" t="s">
        <v>1525</v>
      </c>
    </row>
    <row r="1015" spans="1:2">
      <c r="A1015" s="67" t="s">
        <v>791</v>
      </c>
      <c r="B1015" s="68" t="s">
        <v>1527</v>
      </c>
    </row>
    <row r="1016" spans="1:2">
      <c r="A1016" s="67" t="s">
        <v>791</v>
      </c>
      <c r="B1016" s="68" t="s">
        <v>1496</v>
      </c>
    </row>
    <row r="1017" spans="1:2">
      <c r="A1017" s="67" t="s">
        <v>792</v>
      </c>
      <c r="B1017" s="68" t="s">
        <v>1527</v>
      </c>
    </row>
    <row r="1018" spans="1:2">
      <c r="A1018" s="67" t="s">
        <v>792</v>
      </c>
      <c r="B1018" s="68" t="s">
        <v>1496</v>
      </c>
    </row>
    <row r="1019" spans="1:2">
      <c r="A1019" s="152" t="s">
        <v>795</v>
      </c>
      <c r="B1019" s="68" t="s">
        <v>1527</v>
      </c>
    </row>
    <row r="1020" spans="1:2">
      <c r="A1020" s="152" t="s">
        <v>795</v>
      </c>
      <c r="B1020" s="68" t="s">
        <v>1496</v>
      </c>
    </row>
    <row r="1021" spans="1:2">
      <c r="A1021" s="152" t="s">
        <v>800</v>
      </c>
      <c r="B1021" s="68" t="s">
        <v>1496</v>
      </c>
    </row>
    <row r="1022" spans="1:2">
      <c r="A1022" s="152" t="s">
        <v>800</v>
      </c>
      <c r="B1022" s="68" t="s">
        <v>1531</v>
      </c>
    </row>
    <row r="1023" spans="1:2">
      <c r="A1023" s="152" t="s">
        <v>806</v>
      </c>
      <c r="B1023" s="68" t="s">
        <v>1535</v>
      </c>
    </row>
    <row r="1024" spans="1:2">
      <c r="A1024" s="152" t="s">
        <v>807</v>
      </c>
      <c r="B1024" s="68" t="s">
        <v>1535</v>
      </c>
    </row>
    <row r="1025" spans="1:2">
      <c r="A1025" s="152" t="s">
        <v>801</v>
      </c>
      <c r="B1025" s="68" t="s">
        <v>1496</v>
      </c>
    </row>
    <row r="1026" spans="1:2">
      <c r="A1026" s="152" t="s">
        <v>801</v>
      </c>
      <c r="B1026" s="68" t="s">
        <v>1531</v>
      </c>
    </row>
    <row r="1027" spans="1:2">
      <c r="A1027" s="151" t="s">
        <v>811</v>
      </c>
      <c r="B1027" s="68" t="s">
        <v>1535</v>
      </c>
    </row>
    <row r="1028" spans="1:2">
      <c r="A1028" s="151" t="s">
        <v>815</v>
      </c>
      <c r="B1028" s="68" t="s">
        <v>1535</v>
      </c>
    </row>
    <row r="1029" spans="1:2">
      <c r="A1029" s="151" t="s">
        <v>816</v>
      </c>
      <c r="B1029" s="68" t="s">
        <v>1535</v>
      </c>
    </row>
    <row r="1030" spans="1:2">
      <c r="A1030" s="151" t="s">
        <v>819</v>
      </c>
      <c r="B1030" s="68" t="s">
        <v>1535</v>
      </c>
    </row>
    <row r="1031" spans="1:2">
      <c r="A1031" s="151" t="s">
        <v>822</v>
      </c>
      <c r="B1031" s="68" t="s">
        <v>1535</v>
      </c>
    </row>
    <row r="1032" spans="1:2">
      <c r="A1032" s="151" t="s">
        <v>825</v>
      </c>
      <c r="B1032" s="68" t="s">
        <v>1535</v>
      </c>
    </row>
    <row r="1033" spans="1:2">
      <c r="A1033" s="67" t="s">
        <v>428</v>
      </c>
      <c r="B1033" s="68" t="s">
        <v>1458</v>
      </c>
    </row>
    <row r="1034" spans="1:2">
      <c r="A1034" s="67" t="s">
        <v>1230</v>
      </c>
      <c r="B1034" s="68" t="s">
        <v>1763</v>
      </c>
    </row>
    <row r="1035" spans="1:2">
      <c r="A1035" s="67" t="s">
        <v>1235</v>
      </c>
      <c r="B1035" s="68" t="s">
        <v>1763</v>
      </c>
    </row>
    <row r="1036" spans="1:2">
      <c r="A1036" s="67" t="s">
        <v>1236</v>
      </c>
      <c r="B1036" s="68" t="s">
        <v>1765</v>
      </c>
    </row>
    <row r="1037" spans="1:2">
      <c r="A1037" s="67" t="s">
        <v>1238</v>
      </c>
      <c r="B1037" s="68" t="s">
        <v>1766</v>
      </c>
    </row>
    <row r="1038" spans="1:2">
      <c r="A1038" s="67" t="s">
        <v>1240</v>
      </c>
      <c r="B1038" s="68" t="s">
        <v>1768</v>
      </c>
    </row>
    <row r="1039" spans="1:2">
      <c r="A1039" s="67" t="s">
        <v>1241</v>
      </c>
      <c r="B1039" s="68" t="s">
        <v>1768</v>
      </c>
    </row>
    <row r="1040" spans="1:2">
      <c r="A1040" s="67" t="s">
        <v>1243</v>
      </c>
      <c r="B1040" s="68" t="s">
        <v>1768</v>
      </c>
    </row>
    <row r="1041" spans="1:2">
      <c r="A1041" s="67" t="s">
        <v>1244</v>
      </c>
      <c r="B1041" s="68" t="s">
        <v>1769</v>
      </c>
    </row>
    <row r="1042" spans="1:2">
      <c r="A1042" s="67"/>
      <c r="B1042" s="68"/>
    </row>
    <row r="1043" spans="1:2">
      <c r="A1043" s="67"/>
      <c r="B1043" s="68"/>
    </row>
    <row r="1044" spans="1:2">
      <c r="A1044" s="67"/>
      <c r="B1044" s="68"/>
    </row>
    <row r="1045" spans="1:2">
      <c r="A1045" s="67"/>
      <c r="B1045" s="68"/>
    </row>
    <row r="1046" spans="1:2">
      <c r="A1046" s="67"/>
      <c r="B1046" s="68"/>
    </row>
    <row r="1047" spans="1:2">
      <c r="A1047" s="67"/>
      <c r="B1047" s="68"/>
    </row>
    <row r="1048" spans="1:2">
      <c r="A1048" s="67"/>
      <c r="B1048" s="68"/>
    </row>
    <row r="1049" spans="1:2">
      <c r="A1049" s="67"/>
      <c r="B1049" s="68"/>
    </row>
    <row r="1050" spans="1:2">
      <c r="A1050" s="67"/>
      <c r="B1050" s="68"/>
    </row>
    <row r="1051" spans="1:2">
      <c r="A1051" s="67"/>
      <c r="B1051" s="68"/>
    </row>
    <row r="1052" spans="1:2">
      <c r="A1052" s="67"/>
      <c r="B1052" s="68"/>
    </row>
    <row r="1053" spans="1:2">
      <c r="A1053" s="67"/>
      <c r="B1053" s="68"/>
    </row>
    <row r="1054" spans="1:2">
      <c r="A1054" s="67"/>
      <c r="B1054" s="68"/>
    </row>
    <row r="1055" spans="1:2">
      <c r="A1055" s="67"/>
      <c r="B1055" s="68"/>
    </row>
    <row r="1056" spans="1:2">
      <c r="A1056" s="67"/>
      <c r="B1056" s="68"/>
    </row>
    <row r="1057" spans="1:2">
      <c r="A1057" s="67"/>
      <c r="B1057" s="68"/>
    </row>
    <row r="1058" spans="1:2">
      <c r="A1058" s="67"/>
      <c r="B1058" s="68"/>
    </row>
    <row r="1059" spans="1:2">
      <c r="A1059" s="67"/>
      <c r="B1059" s="68"/>
    </row>
    <row r="1060" spans="1:2">
      <c r="A1060" s="67"/>
      <c r="B1060" s="68"/>
    </row>
    <row r="1061" spans="1:2">
      <c r="A1061" s="67"/>
      <c r="B1061" s="68"/>
    </row>
    <row r="1062" spans="1:2">
      <c r="A1062" s="67"/>
      <c r="B1062" s="68"/>
    </row>
    <row r="1063" spans="1:2">
      <c r="A1063" s="67"/>
      <c r="B1063" s="68"/>
    </row>
    <row r="1064" spans="1:2">
      <c r="A1064" s="67"/>
      <c r="B1064" s="68"/>
    </row>
    <row r="1065" spans="1:2">
      <c r="A1065" s="67"/>
      <c r="B1065" s="68"/>
    </row>
    <row r="1066" spans="1:2">
      <c r="A1066" s="67"/>
      <c r="B1066" s="68"/>
    </row>
    <row r="1067" spans="1:2">
      <c r="A1067" s="67"/>
      <c r="B1067" s="68"/>
    </row>
    <row r="1068" spans="1:2">
      <c r="A1068" s="67"/>
      <c r="B1068" s="68"/>
    </row>
    <row r="1069" spans="1:2">
      <c r="A1069" s="67"/>
      <c r="B1069" s="68"/>
    </row>
    <row r="1070" spans="1:2">
      <c r="A1070" s="67"/>
      <c r="B1070" s="68"/>
    </row>
    <row r="1071" spans="1:2">
      <c r="A1071" s="67"/>
      <c r="B1071" s="68"/>
    </row>
    <row r="1072" spans="1:2">
      <c r="A1072" s="67"/>
      <c r="B1072" s="68"/>
    </row>
    <row r="1073" spans="1:2">
      <c r="A1073" s="67"/>
      <c r="B1073" s="68"/>
    </row>
    <row r="1074" spans="1:2">
      <c r="A1074" s="67"/>
      <c r="B1074" s="68"/>
    </row>
    <row r="1075" spans="1:2">
      <c r="A1075" s="67"/>
      <c r="B1075" s="68"/>
    </row>
    <row r="1076" spans="1:2">
      <c r="A1076" s="67"/>
      <c r="B1076" s="68"/>
    </row>
    <row r="1077" spans="1:2">
      <c r="A1077" s="67"/>
      <c r="B1077" s="68"/>
    </row>
    <row r="1078" spans="1:2">
      <c r="A1078" s="67"/>
      <c r="B1078" s="68"/>
    </row>
    <row r="1079" spans="1:2">
      <c r="A1079" s="67"/>
      <c r="B1079" s="68"/>
    </row>
    <row r="1080" spans="1:2">
      <c r="A1080" s="67"/>
      <c r="B1080" s="68"/>
    </row>
    <row r="1081" spans="1:2">
      <c r="A1081" s="67"/>
      <c r="B1081" s="68"/>
    </row>
    <row r="1082" spans="1:2">
      <c r="A1082" s="67"/>
      <c r="B1082" s="68"/>
    </row>
    <row r="1083" spans="1:2">
      <c r="A1083" s="67"/>
      <c r="B1083" s="68"/>
    </row>
    <row r="1084" spans="1:2">
      <c r="A1084" s="67"/>
      <c r="B1084" s="68"/>
    </row>
    <row r="1085" spans="1:2">
      <c r="A1085" s="67"/>
      <c r="B1085" s="68"/>
    </row>
    <row r="1086" spans="1:2">
      <c r="A1086" s="67"/>
      <c r="B1086" s="68"/>
    </row>
    <row r="1087" spans="1:2">
      <c r="A1087" s="67"/>
      <c r="B1087" s="68"/>
    </row>
    <row r="1088" spans="1:2">
      <c r="A1088" s="67"/>
      <c r="B1088" s="68"/>
    </row>
    <row r="1089" spans="1:2">
      <c r="A1089" s="67"/>
      <c r="B1089" s="68"/>
    </row>
    <row r="1090" spans="1:2">
      <c r="A1090" s="67"/>
      <c r="B1090" s="68"/>
    </row>
    <row r="1091" spans="1:2">
      <c r="A1091" s="67"/>
      <c r="B1091" s="68"/>
    </row>
    <row r="1092" spans="1:2">
      <c r="A1092" s="67"/>
      <c r="B1092" s="68"/>
    </row>
    <row r="1093" spans="1:2">
      <c r="A1093" s="67"/>
      <c r="B1093" s="68"/>
    </row>
    <row r="1094" spans="1:2">
      <c r="A1094" s="67"/>
      <c r="B1094" s="68"/>
    </row>
    <row r="1095" spans="1:2">
      <c r="A1095" s="67"/>
      <c r="B1095" s="68"/>
    </row>
    <row r="1096" spans="1:2">
      <c r="A1096" s="67"/>
      <c r="B1096" s="68"/>
    </row>
    <row r="1097" spans="1:2">
      <c r="A1097" s="67"/>
      <c r="B1097" s="68"/>
    </row>
    <row r="1098" spans="1:2">
      <c r="A1098" s="67"/>
      <c r="B1098" s="68"/>
    </row>
    <row r="1099" spans="1:2">
      <c r="A1099" s="67"/>
      <c r="B1099" s="68"/>
    </row>
    <row r="1100" spans="1:2">
      <c r="A1100" s="67"/>
      <c r="B1100" s="68"/>
    </row>
    <row r="1101" spans="1:2">
      <c r="A1101" s="67"/>
      <c r="B1101" s="68"/>
    </row>
    <row r="1102" spans="1:2">
      <c r="A1102" s="67"/>
      <c r="B1102" s="68"/>
    </row>
    <row r="1103" spans="1:2">
      <c r="A1103" s="67"/>
      <c r="B1103" s="68"/>
    </row>
    <row r="1104" spans="1:2">
      <c r="A1104" s="67"/>
      <c r="B1104" s="68"/>
    </row>
    <row r="1105" spans="1:2">
      <c r="A1105" s="67"/>
      <c r="B1105" s="68"/>
    </row>
    <row r="1106" spans="1:2">
      <c r="A1106" s="67"/>
      <c r="B1106" s="68"/>
    </row>
    <row r="1107" spans="1:2">
      <c r="A1107" s="67"/>
      <c r="B1107" s="68"/>
    </row>
    <row r="1108" spans="1:2">
      <c r="A1108" s="67"/>
      <c r="B1108" s="68"/>
    </row>
    <row r="1109" spans="1:2">
      <c r="A1109" s="67"/>
      <c r="B1109" s="68"/>
    </row>
    <row r="1110" spans="1:2">
      <c r="A1110" s="67"/>
      <c r="B1110" s="68"/>
    </row>
    <row r="1111" spans="1:2">
      <c r="A1111" s="67"/>
      <c r="B1111" s="68"/>
    </row>
    <row r="1112" spans="1:2">
      <c r="A1112" s="67"/>
      <c r="B1112" s="68"/>
    </row>
    <row r="1113" spans="1:2">
      <c r="A1113" s="67"/>
      <c r="B1113" s="68"/>
    </row>
    <row r="1114" spans="1:2">
      <c r="A1114" s="67"/>
      <c r="B1114" s="68"/>
    </row>
    <row r="1115" spans="1:2">
      <c r="A1115" s="67"/>
      <c r="B1115" s="68"/>
    </row>
    <row r="1116" spans="1:2">
      <c r="A1116" s="67"/>
      <c r="B1116" s="68"/>
    </row>
    <row r="1117" spans="1:2">
      <c r="A1117" s="67"/>
      <c r="B1117" s="68"/>
    </row>
    <row r="1118" spans="1:2">
      <c r="A1118" s="67"/>
      <c r="B1118" s="68"/>
    </row>
    <row r="1119" spans="1:2">
      <c r="A1119" s="67"/>
      <c r="B1119" s="68"/>
    </row>
    <row r="1120" spans="1:2">
      <c r="A1120" s="67"/>
      <c r="B1120" s="68"/>
    </row>
    <row r="1121" spans="1:2">
      <c r="A1121" s="67"/>
      <c r="B1121" s="68"/>
    </row>
    <row r="1122" spans="1:2">
      <c r="A1122" s="67"/>
      <c r="B1122" s="68"/>
    </row>
    <row r="1123" spans="1:2">
      <c r="A1123" s="67"/>
      <c r="B1123" s="68"/>
    </row>
    <row r="1124" spans="1:2">
      <c r="A1124" s="67"/>
      <c r="B1124" s="68"/>
    </row>
    <row r="1125" spans="1:2">
      <c r="A1125" s="67"/>
      <c r="B1125" s="68"/>
    </row>
    <row r="1126" spans="1:2">
      <c r="A1126" s="67"/>
      <c r="B1126" s="68"/>
    </row>
    <row r="1127" spans="1:2">
      <c r="A1127" s="67"/>
      <c r="B1127" s="68"/>
    </row>
    <row r="1128" spans="1:2">
      <c r="A1128" s="67"/>
      <c r="B1128" s="68"/>
    </row>
    <row r="1129" spans="1:2">
      <c r="A1129" s="67"/>
      <c r="B1129" s="68"/>
    </row>
    <row r="1130" spans="1:2">
      <c r="A1130" s="67"/>
      <c r="B1130" s="68"/>
    </row>
    <row r="1131" spans="1:2">
      <c r="A1131" s="67"/>
      <c r="B1131" s="68"/>
    </row>
    <row r="1132" spans="1:2">
      <c r="A1132" s="67"/>
      <c r="B1132" s="68"/>
    </row>
    <row r="1133" spans="1:2">
      <c r="A1133" s="67"/>
      <c r="B1133" s="68"/>
    </row>
    <row r="1134" spans="1:2">
      <c r="A1134" s="67"/>
      <c r="B1134" s="68"/>
    </row>
    <row r="1135" spans="1:2">
      <c r="A1135" s="67"/>
      <c r="B1135" s="68"/>
    </row>
    <row r="1136" spans="1:2">
      <c r="A1136" s="67"/>
      <c r="B1136" s="68"/>
    </row>
    <row r="1137" spans="1:2">
      <c r="A1137" s="67"/>
      <c r="B1137" s="68"/>
    </row>
    <row r="1138" spans="1:2">
      <c r="A1138" s="67"/>
      <c r="B1138" s="68"/>
    </row>
    <row r="1139" spans="1:2">
      <c r="A1139" s="67"/>
      <c r="B1139" s="68"/>
    </row>
    <row r="1140" spans="1:2">
      <c r="A1140" s="67"/>
      <c r="B1140" s="68"/>
    </row>
    <row r="1141" spans="1:2">
      <c r="A1141" s="67"/>
      <c r="B1141" s="68"/>
    </row>
    <row r="1142" spans="1:2">
      <c r="A1142" s="67"/>
      <c r="B1142" s="68"/>
    </row>
    <row r="1143" spans="1:2">
      <c r="A1143" s="67"/>
      <c r="B1143" s="68"/>
    </row>
    <row r="1144" spans="1:2">
      <c r="A1144" s="67"/>
      <c r="B1144" s="68"/>
    </row>
    <row r="1145" spans="1:2">
      <c r="A1145" s="67"/>
      <c r="B1145" s="68"/>
    </row>
    <row r="1146" spans="1:2">
      <c r="A1146" s="67"/>
      <c r="B1146" s="68"/>
    </row>
    <row r="1147" spans="1:2">
      <c r="A1147" s="67"/>
      <c r="B1147" s="68"/>
    </row>
    <row r="1148" spans="1:2">
      <c r="A1148" s="67"/>
      <c r="B1148" s="68"/>
    </row>
    <row r="1149" spans="1:2">
      <c r="A1149" s="67"/>
      <c r="B1149" s="68"/>
    </row>
    <row r="1150" spans="1:2">
      <c r="A1150" s="67"/>
      <c r="B1150" s="68"/>
    </row>
    <row r="1151" spans="1:2">
      <c r="A1151" s="67"/>
      <c r="B1151" s="68"/>
    </row>
    <row r="1152" spans="1:2">
      <c r="A1152" s="67"/>
      <c r="B1152" s="68"/>
    </row>
    <row r="1153" spans="1:2">
      <c r="A1153" s="67"/>
      <c r="B1153" s="68"/>
    </row>
    <row r="1154" spans="1:2">
      <c r="A1154" s="67"/>
      <c r="B1154" s="68"/>
    </row>
    <row r="1155" spans="1:2">
      <c r="A1155" s="67"/>
      <c r="B1155" s="68"/>
    </row>
    <row r="1156" spans="1:2">
      <c r="A1156" s="67"/>
      <c r="B1156" s="68"/>
    </row>
    <row r="1157" spans="1:2">
      <c r="A1157" s="67"/>
      <c r="B1157" s="68"/>
    </row>
    <row r="1158" spans="1:2">
      <c r="A1158" s="67"/>
      <c r="B1158" s="68"/>
    </row>
    <row r="1159" spans="1:2">
      <c r="A1159" s="67"/>
      <c r="B1159" s="68"/>
    </row>
    <row r="1160" spans="1:2">
      <c r="A1160" s="67"/>
      <c r="B1160" s="68"/>
    </row>
    <row r="1161" spans="1:2">
      <c r="A1161" s="67"/>
      <c r="B1161" s="68"/>
    </row>
    <row r="1162" spans="1:2">
      <c r="A1162" s="67"/>
      <c r="B1162" s="68"/>
    </row>
    <row r="1163" spans="1:2">
      <c r="A1163" s="67"/>
      <c r="B1163" s="68"/>
    </row>
    <row r="1164" spans="1:2">
      <c r="A1164" s="67"/>
      <c r="B1164" s="68"/>
    </row>
    <row r="1165" spans="1:2">
      <c r="A1165" s="67"/>
      <c r="B1165" s="68"/>
    </row>
    <row r="1166" spans="1:2">
      <c r="A1166" s="67"/>
      <c r="B1166" s="68"/>
    </row>
    <row r="1167" spans="1:2">
      <c r="A1167" s="67"/>
      <c r="B1167" s="68"/>
    </row>
    <row r="1168" spans="1:2">
      <c r="A1168" s="67"/>
      <c r="B1168" s="68"/>
    </row>
    <row r="1169" spans="1:2">
      <c r="A1169" s="67"/>
      <c r="B1169" s="68"/>
    </row>
    <row r="1170" spans="1:2">
      <c r="A1170" s="67"/>
      <c r="B1170" s="68"/>
    </row>
    <row r="1171" spans="1:2">
      <c r="A1171" s="67"/>
      <c r="B1171" s="68"/>
    </row>
    <row r="1172" spans="1:2">
      <c r="A1172" s="67"/>
      <c r="B1172" s="68"/>
    </row>
    <row r="1173" spans="1:2">
      <c r="A1173" s="67"/>
      <c r="B1173" s="68"/>
    </row>
    <row r="1174" spans="1:2">
      <c r="A1174" s="67"/>
      <c r="B1174" s="68"/>
    </row>
    <row r="1175" spans="1:2">
      <c r="A1175" s="67"/>
      <c r="B1175" s="68"/>
    </row>
    <row r="1176" spans="1:2">
      <c r="A1176" s="67"/>
      <c r="B1176" s="68"/>
    </row>
    <row r="1177" spans="1:2">
      <c r="A1177" s="67"/>
      <c r="B1177" s="68"/>
    </row>
    <row r="1178" spans="1:2">
      <c r="A1178" s="67"/>
      <c r="B1178" s="68"/>
    </row>
    <row r="1179" spans="1:2">
      <c r="A1179" s="67"/>
      <c r="B1179" s="68"/>
    </row>
    <row r="1180" spans="1:2">
      <c r="A1180" s="67"/>
      <c r="B1180" s="68"/>
    </row>
    <row r="1181" spans="1:2">
      <c r="A1181" s="67"/>
      <c r="B1181" s="68"/>
    </row>
    <row r="1182" spans="1:2">
      <c r="A1182" s="67"/>
      <c r="B1182" s="68"/>
    </row>
    <row r="1183" spans="1:2">
      <c r="A1183" s="67"/>
      <c r="B1183" s="68"/>
    </row>
    <row r="1184" spans="1:2">
      <c r="A1184" s="67"/>
      <c r="B1184" s="68"/>
    </row>
    <row r="1185" spans="1:2">
      <c r="A1185" s="67"/>
      <c r="B1185" s="68"/>
    </row>
    <row r="1186" spans="1:2">
      <c r="A1186" s="67"/>
      <c r="B1186" s="68"/>
    </row>
    <row r="1187" spans="1:2">
      <c r="A1187" s="67"/>
      <c r="B1187" s="68"/>
    </row>
    <row r="1188" spans="1:2">
      <c r="A1188" s="67"/>
      <c r="B1188" s="68"/>
    </row>
    <row r="1189" spans="1:2">
      <c r="A1189" s="67"/>
      <c r="B1189" s="68"/>
    </row>
    <row r="1190" spans="1:2">
      <c r="A1190" s="67"/>
      <c r="B1190" s="68"/>
    </row>
    <row r="1191" spans="1:2">
      <c r="A1191" s="67"/>
      <c r="B1191" s="68"/>
    </row>
    <row r="1192" spans="1:2">
      <c r="A1192" s="67"/>
      <c r="B1192" s="68"/>
    </row>
    <row r="1193" spans="1:2">
      <c r="A1193" s="67"/>
      <c r="B1193" s="68"/>
    </row>
    <row r="1194" spans="1:2">
      <c r="A1194" s="67"/>
      <c r="B1194" s="68"/>
    </row>
    <row r="1195" spans="1:2">
      <c r="A1195" s="67"/>
      <c r="B1195" s="68"/>
    </row>
    <row r="1196" spans="1:2">
      <c r="A1196" s="67"/>
      <c r="B1196" s="68"/>
    </row>
    <row r="1197" spans="1:2">
      <c r="A1197" s="67"/>
      <c r="B1197" s="68"/>
    </row>
    <row r="1198" spans="1:2">
      <c r="A1198" s="67"/>
      <c r="B1198" s="68"/>
    </row>
    <row r="1199" spans="1:2">
      <c r="A1199" s="67"/>
      <c r="B1199" s="68"/>
    </row>
    <row r="1200" spans="1:2">
      <c r="A1200" s="67"/>
      <c r="B1200" s="68"/>
    </row>
    <row r="1201" spans="1:2">
      <c r="A1201" s="67"/>
      <c r="B1201" s="68"/>
    </row>
    <row r="1202" spans="1:2">
      <c r="A1202" s="67"/>
      <c r="B1202" s="68"/>
    </row>
    <row r="1203" spans="1:2">
      <c r="A1203" s="67"/>
      <c r="B1203" s="68"/>
    </row>
    <row r="1204" spans="1:2">
      <c r="A1204" s="67"/>
      <c r="B1204" s="68"/>
    </row>
    <row r="1205" spans="1:2">
      <c r="A1205" s="67"/>
      <c r="B1205" s="68"/>
    </row>
    <row r="1206" spans="1:2">
      <c r="A1206" s="67"/>
      <c r="B1206" s="68"/>
    </row>
    <row r="1207" spans="1:2">
      <c r="A1207" s="67"/>
      <c r="B1207" s="68"/>
    </row>
    <row r="1208" spans="1:2">
      <c r="A1208" s="67"/>
      <c r="B1208" s="68"/>
    </row>
    <row r="1209" spans="1:2">
      <c r="A1209" s="67"/>
      <c r="B1209" s="68"/>
    </row>
    <row r="1210" spans="1:2">
      <c r="A1210" s="67"/>
      <c r="B1210" s="68"/>
    </row>
    <row r="1211" spans="1:2">
      <c r="A1211" s="67"/>
      <c r="B1211" s="68"/>
    </row>
    <row r="1212" spans="1:2">
      <c r="A1212" s="67"/>
      <c r="B1212" s="68"/>
    </row>
    <row r="1213" spans="1:2">
      <c r="A1213" s="67"/>
      <c r="B1213" s="68"/>
    </row>
    <row r="1214" spans="1:2">
      <c r="A1214" s="67"/>
      <c r="B1214" s="68"/>
    </row>
    <row r="1215" spans="1:2">
      <c r="A1215" s="67"/>
      <c r="B1215" s="68"/>
    </row>
    <row r="1216" spans="1:2">
      <c r="A1216" s="67"/>
      <c r="B1216" s="68"/>
    </row>
    <row r="1217" spans="1:2">
      <c r="A1217" s="67"/>
      <c r="B1217" s="68"/>
    </row>
    <row r="1218" spans="1:2">
      <c r="A1218" s="67"/>
      <c r="B1218" s="68"/>
    </row>
    <row r="1219" spans="1:2">
      <c r="A1219" s="67"/>
      <c r="B1219" s="68"/>
    </row>
    <row r="1220" spans="1:2">
      <c r="A1220" s="67"/>
      <c r="B1220" s="68"/>
    </row>
    <row r="1221" spans="1:2">
      <c r="A1221" s="67"/>
      <c r="B1221" s="68"/>
    </row>
    <row r="1222" spans="1:2">
      <c r="A1222" s="67"/>
      <c r="B1222" s="68"/>
    </row>
    <row r="1223" spans="1:2">
      <c r="A1223" s="67"/>
      <c r="B1223" s="68"/>
    </row>
    <row r="1224" spans="1:2">
      <c r="A1224" s="67"/>
      <c r="B1224" s="68"/>
    </row>
    <row r="1225" spans="1:2">
      <c r="A1225" s="67"/>
      <c r="B1225" s="68"/>
    </row>
    <row r="1226" spans="1:2">
      <c r="A1226" s="67"/>
      <c r="B1226" s="68"/>
    </row>
    <row r="1227" spans="1:2">
      <c r="A1227" s="67"/>
      <c r="B1227" s="68"/>
    </row>
    <row r="1228" spans="1:2">
      <c r="A1228" s="67"/>
      <c r="B1228" s="68"/>
    </row>
    <row r="1229" spans="1:2">
      <c r="A1229" s="67"/>
      <c r="B1229" s="68"/>
    </row>
    <row r="1230" spans="1:2">
      <c r="A1230" s="67"/>
      <c r="B1230" s="68"/>
    </row>
    <row r="1231" spans="1:2">
      <c r="A1231" s="67"/>
      <c r="B1231" s="68"/>
    </row>
    <row r="1232" spans="1:2">
      <c r="A1232" s="67"/>
      <c r="B1232" s="68"/>
    </row>
    <row r="1233" spans="1:2">
      <c r="A1233" s="67"/>
      <c r="B1233" s="68"/>
    </row>
    <row r="1234" spans="1:2">
      <c r="A1234" s="67"/>
      <c r="B1234" s="68"/>
    </row>
    <row r="1235" spans="1:2">
      <c r="A1235" s="67"/>
      <c r="B1235" s="68"/>
    </row>
    <row r="1236" spans="1:2">
      <c r="A1236" s="67"/>
      <c r="B1236" s="68"/>
    </row>
    <row r="1237" spans="1:2">
      <c r="A1237" s="67"/>
      <c r="B1237" s="68"/>
    </row>
    <row r="1238" spans="1:2">
      <c r="A1238" s="67"/>
      <c r="B1238" s="68"/>
    </row>
    <row r="1239" spans="1:2">
      <c r="A1239" s="67"/>
      <c r="B1239" s="68"/>
    </row>
    <row r="1240" spans="1:2">
      <c r="A1240" s="67"/>
      <c r="B1240" s="68"/>
    </row>
    <row r="1241" spans="1:2">
      <c r="A1241" s="67"/>
      <c r="B1241" s="68"/>
    </row>
    <row r="1242" spans="1:2">
      <c r="A1242" s="67"/>
      <c r="B1242" s="68"/>
    </row>
    <row r="1243" spans="1:2">
      <c r="A1243" s="67"/>
      <c r="B1243" s="68"/>
    </row>
    <row r="1244" spans="1:2">
      <c r="A1244" s="67"/>
      <c r="B1244" s="68"/>
    </row>
    <row r="1245" spans="1:2">
      <c r="A1245" s="67"/>
      <c r="B1245" s="68"/>
    </row>
    <row r="1246" spans="1:2">
      <c r="A1246" s="67"/>
      <c r="B1246" s="68"/>
    </row>
    <row r="1247" spans="1:2">
      <c r="A1247" s="67"/>
      <c r="B1247" s="68"/>
    </row>
    <row r="1248" spans="1:2">
      <c r="A1248" s="67"/>
      <c r="B1248" s="68"/>
    </row>
    <row r="1249" spans="1:2">
      <c r="A1249" s="67"/>
      <c r="B1249" s="68"/>
    </row>
    <row r="1250" spans="1:2">
      <c r="A1250" s="67"/>
      <c r="B1250" s="68"/>
    </row>
    <row r="1251" spans="1:2">
      <c r="A1251" s="67"/>
      <c r="B1251" s="68"/>
    </row>
    <row r="1252" spans="1:2">
      <c r="A1252" s="67"/>
      <c r="B1252" s="68"/>
    </row>
    <row r="1253" spans="1:2">
      <c r="A1253" s="67"/>
      <c r="B1253" s="68"/>
    </row>
    <row r="1254" spans="1:2">
      <c r="A1254" s="67"/>
      <c r="B1254" s="68"/>
    </row>
    <row r="1255" spans="1:2">
      <c r="A1255" s="67"/>
      <c r="B1255" s="68"/>
    </row>
    <row r="1256" spans="1:2">
      <c r="A1256" s="67"/>
      <c r="B1256" s="68"/>
    </row>
    <row r="1257" spans="1:2">
      <c r="A1257" s="67"/>
      <c r="B1257" s="68"/>
    </row>
    <row r="1258" spans="1:2">
      <c r="A1258" s="67"/>
      <c r="B1258" s="68"/>
    </row>
    <row r="1259" spans="1:2">
      <c r="A1259" s="67"/>
      <c r="B1259" s="68"/>
    </row>
    <row r="1260" spans="1:2">
      <c r="A1260" s="67"/>
      <c r="B1260" s="68"/>
    </row>
    <row r="1261" spans="1:2">
      <c r="A1261" s="67"/>
      <c r="B1261" s="68"/>
    </row>
    <row r="1262" spans="1:2">
      <c r="A1262" s="67"/>
      <c r="B1262" s="68"/>
    </row>
    <row r="1263" spans="1:2">
      <c r="A1263" s="67"/>
      <c r="B1263" s="68"/>
    </row>
    <row r="1264" spans="1:2">
      <c r="A1264" s="67"/>
      <c r="B1264" s="68"/>
    </row>
    <row r="1265" spans="1:2">
      <c r="A1265" s="67"/>
      <c r="B1265" s="68"/>
    </row>
    <row r="1266" spans="1:2">
      <c r="A1266" s="67"/>
      <c r="B1266" s="68"/>
    </row>
    <row r="1267" spans="1:2">
      <c r="A1267" s="67"/>
      <c r="B1267" s="68"/>
    </row>
    <row r="1268" spans="1:2">
      <c r="A1268" s="67"/>
      <c r="B1268" s="68"/>
    </row>
    <row r="1269" spans="1:2">
      <c r="A1269" s="67"/>
      <c r="B1269" s="68"/>
    </row>
    <row r="1270" spans="1:2">
      <c r="A1270" s="67"/>
      <c r="B1270" s="68"/>
    </row>
    <row r="1271" spans="1:2">
      <c r="A1271" s="67"/>
      <c r="B1271" s="68"/>
    </row>
    <row r="1272" spans="1:2">
      <c r="A1272" s="67"/>
      <c r="B1272" s="68"/>
    </row>
    <row r="1273" spans="1:2">
      <c r="A1273" s="67"/>
      <c r="B1273" s="68"/>
    </row>
    <row r="1274" spans="1:2">
      <c r="A1274" s="67"/>
      <c r="B1274" s="68"/>
    </row>
    <row r="1275" spans="1:2">
      <c r="A1275" s="67"/>
      <c r="B1275" s="68"/>
    </row>
    <row r="1276" spans="1:2">
      <c r="A1276" s="67"/>
      <c r="B1276" s="68"/>
    </row>
    <row r="1277" spans="1:2">
      <c r="A1277" s="67"/>
      <c r="B1277" s="68"/>
    </row>
    <row r="1278" spans="1:2">
      <c r="A1278" s="67"/>
      <c r="B1278" s="68"/>
    </row>
    <row r="1279" spans="1:2">
      <c r="A1279" s="67"/>
      <c r="B1279" s="68"/>
    </row>
    <row r="1280" spans="1:2">
      <c r="A1280" s="67"/>
      <c r="B1280" s="68"/>
    </row>
    <row r="1281" spans="1:2">
      <c r="A1281" s="67"/>
      <c r="B1281" s="68"/>
    </row>
    <row r="1282" spans="1:2">
      <c r="A1282" s="67"/>
      <c r="B1282" s="68"/>
    </row>
    <row r="1283" spans="1:2">
      <c r="A1283" s="67"/>
      <c r="B1283" s="68"/>
    </row>
    <row r="1284" spans="1:2">
      <c r="A1284" s="67"/>
      <c r="B1284" s="68"/>
    </row>
    <row r="1285" spans="1:2">
      <c r="A1285" s="67"/>
      <c r="B1285" s="68"/>
    </row>
    <row r="1286" spans="1:2">
      <c r="A1286" s="67"/>
      <c r="B1286" s="68"/>
    </row>
    <row r="1287" spans="1:2">
      <c r="A1287" s="67"/>
      <c r="B1287" s="68"/>
    </row>
    <row r="1288" spans="1:2">
      <c r="A1288" s="67"/>
      <c r="B1288" s="68"/>
    </row>
    <row r="1289" spans="1:2">
      <c r="A1289" s="67"/>
      <c r="B1289" s="68"/>
    </row>
    <row r="1290" spans="1:2">
      <c r="A1290" s="67"/>
      <c r="B1290" s="68"/>
    </row>
    <row r="1291" spans="1:2">
      <c r="A1291" s="67"/>
      <c r="B1291" s="68"/>
    </row>
    <row r="1292" spans="1:2">
      <c r="A1292" s="67"/>
      <c r="B1292" s="68"/>
    </row>
    <row r="1293" spans="1:2">
      <c r="A1293" s="67"/>
      <c r="B1293" s="68"/>
    </row>
    <row r="1294" spans="1:2">
      <c r="A1294" s="67"/>
      <c r="B1294" s="68"/>
    </row>
    <row r="1295" spans="1:2">
      <c r="A1295" s="67"/>
      <c r="B1295" s="68"/>
    </row>
    <row r="1296" spans="1:2">
      <c r="A1296" s="67"/>
      <c r="B1296" s="68"/>
    </row>
    <row r="1297" spans="1:2">
      <c r="A1297" s="67"/>
      <c r="B1297" s="68"/>
    </row>
    <row r="1298" spans="1:2">
      <c r="A1298" s="67"/>
      <c r="B1298" s="68"/>
    </row>
    <row r="1299" spans="1:2">
      <c r="A1299" s="67"/>
      <c r="B1299" s="68"/>
    </row>
    <row r="1300" spans="1:2">
      <c r="A1300" s="67"/>
      <c r="B1300" s="68"/>
    </row>
    <row r="1301" spans="1:2">
      <c r="A1301" s="67"/>
      <c r="B1301" s="68"/>
    </row>
    <row r="1302" spans="1:2">
      <c r="A1302" s="67"/>
      <c r="B1302" s="68"/>
    </row>
    <row r="1303" spans="1:2">
      <c r="A1303" s="67"/>
      <c r="B1303" s="68"/>
    </row>
    <row r="1304" spans="1:2">
      <c r="A1304" s="67"/>
      <c r="B1304" s="68"/>
    </row>
    <row r="1305" spans="1:2">
      <c r="A1305" s="67"/>
      <c r="B1305" s="68"/>
    </row>
    <row r="1306" spans="1:2">
      <c r="A1306" s="67"/>
      <c r="B1306" s="68"/>
    </row>
    <row r="1307" spans="1:2">
      <c r="A1307" s="67"/>
      <c r="B1307" s="68"/>
    </row>
    <row r="1308" spans="1:2">
      <c r="A1308" s="67"/>
      <c r="B1308" s="68"/>
    </row>
    <row r="1309" spans="1:2">
      <c r="A1309" s="67"/>
      <c r="B1309" s="68"/>
    </row>
    <row r="1310" spans="1:2">
      <c r="A1310" s="67"/>
      <c r="B1310" s="68"/>
    </row>
    <row r="1311" spans="1:2">
      <c r="A1311" s="67"/>
      <c r="B1311" s="68"/>
    </row>
    <row r="1312" spans="1:2">
      <c r="A1312" s="67"/>
      <c r="B1312" s="68"/>
    </row>
    <row r="1313" spans="1:2">
      <c r="A1313" s="67"/>
      <c r="B1313" s="68"/>
    </row>
    <row r="1314" spans="1:2">
      <c r="A1314" s="67"/>
      <c r="B1314" s="68"/>
    </row>
    <row r="1315" spans="1:2">
      <c r="A1315" s="67"/>
      <c r="B1315" s="68"/>
    </row>
    <row r="1316" spans="1:2">
      <c r="A1316" s="67"/>
      <c r="B1316" s="68"/>
    </row>
    <row r="1317" spans="1:2">
      <c r="A1317" s="67"/>
      <c r="B1317" s="68"/>
    </row>
    <row r="1318" spans="1:2">
      <c r="A1318" s="67"/>
      <c r="B1318" s="68"/>
    </row>
    <row r="1319" spans="1:2">
      <c r="A1319" s="67"/>
      <c r="B1319" s="68"/>
    </row>
    <row r="1320" spans="1:2">
      <c r="A1320" s="67"/>
      <c r="B1320" s="68"/>
    </row>
    <row r="1321" spans="1:2">
      <c r="A1321" s="67"/>
      <c r="B1321" s="68"/>
    </row>
    <row r="1322" spans="1:2">
      <c r="A1322" s="67"/>
      <c r="B1322" s="68"/>
    </row>
    <row r="1323" spans="1:2">
      <c r="A1323" s="67"/>
      <c r="B1323" s="68"/>
    </row>
    <row r="1324" spans="1:2">
      <c r="A1324" s="67"/>
      <c r="B1324" s="68"/>
    </row>
    <row r="1325" spans="1:2">
      <c r="A1325" s="67"/>
      <c r="B1325" s="68"/>
    </row>
    <row r="1326" spans="1:2">
      <c r="A1326" s="67"/>
      <c r="B1326" s="68"/>
    </row>
    <row r="1327" spans="1:2">
      <c r="A1327" s="67"/>
      <c r="B1327" s="68"/>
    </row>
    <row r="1328" spans="1:2">
      <c r="A1328" s="67"/>
      <c r="B1328" s="68"/>
    </row>
    <row r="1329" spans="1:2">
      <c r="A1329" s="67"/>
      <c r="B1329" s="68"/>
    </row>
    <row r="1330" spans="1:2">
      <c r="A1330" s="67"/>
      <c r="B1330" s="68"/>
    </row>
    <row r="1331" spans="1:2">
      <c r="A1331" s="67"/>
      <c r="B1331" s="68"/>
    </row>
    <row r="1332" spans="1:2">
      <c r="A1332" s="67"/>
      <c r="B1332" s="68"/>
    </row>
    <row r="1333" spans="1:2">
      <c r="A1333" s="67"/>
      <c r="B1333" s="68"/>
    </row>
    <row r="1334" spans="1:2">
      <c r="A1334" s="67"/>
      <c r="B1334" s="68"/>
    </row>
    <row r="1335" spans="1:2">
      <c r="A1335" s="67"/>
      <c r="B1335" s="68"/>
    </row>
    <row r="1336" spans="1:2">
      <c r="A1336" s="67"/>
      <c r="B1336" s="68"/>
    </row>
    <row r="1337" spans="1:2">
      <c r="A1337" s="67"/>
      <c r="B1337" s="68"/>
    </row>
    <row r="1338" spans="1:2">
      <c r="A1338" s="67"/>
      <c r="B1338" s="68"/>
    </row>
    <row r="1339" spans="1:2">
      <c r="A1339" s="67"/>
      <c r="B1339" s="68"/>
    </row>
    <row r="1340" spans="1:2">
      <c r="A1340" s="67"/>
      <c r="B1340" s="68"/>
    </row>
    <row r="1341" spans="1:2">
      <c r="A1341" s="67"/>
      <c r="B1341" s="68"/>
    </row>
    <row r="1342" spans="1:2">
      <c r="A1342" s="67"/>
      <c r="B1342" s="68"/>
    </row>
    <row r="1343" spans="1:2">
      <c r="A1343" s="67"/>
      <c r="B1343" s="68"/>
    </row>
    <row r="1344" spans="1:2">
      <c r="A1344" s="67"/>
      <c r="B1344" s="68"/>
    </row>
    <row r="1345" spans="1:2">
      <c r="A1345" s="67"/>
      <c r="B1345" s="68"/>
    </row>
    <row r="1346" spans="1:2">
      <c r="A1346" s="67"/>
      <c r="B1346" s="68"/>
    </row>
    <row r="1347" spans="1:2">
      <c r="A1347" s="67"/>
      <c r="B1347" s="68"/>
    </row>
    <row r="1348" spans="1:2">
      <c r="A1348" s="67"/>
      <c r="B1348" s="68"/>
    </row>
    <row r="1349" spans="1:2">
      <c r="A1349" s="67"/>
      <c r="B1349" s="68"/>
    </row>
    <row r="1350" spans="1:2">
      <c r="A1350" s="67"/>
      <c r="B1350" s="68"/>
    </row>
    <row r="1351" spans="1:2">
      <c r="A1351" s="67"/>
      <c r="B1351" s="68"/>
    </row>
    <row r="1352" spans="1:2">
      <c r="A1352" s="67"/>
      <c r="B1352" s="68"/>
    </row>
    <row r="1353" spans="1:2">
      <c r="A1353" s="67"/>
      <c r="B1353" s="68"/>
    </row>
    <row r="1354" spans="1:2">
      <c r="A1354" s="67"/>
      <c r="B1354" s="68"/>
    </row>
    <row r="1355" spans="1:2">
      <c r="A1355" s="67"/>
      <c r="B1355" s="68"/>
    </row>
    <row r="1356" spans="1:2">
      <c r="A1356" s="67"/>
      <c r="B1356" s="68"/>
    </row>
    <row r="1357" spans="1:2">
      <c r="A1357" s="67"/>
      <c r="B1357" s="68"/>
    </row>
    <row r="1358" spans="1:2">
      <c r="A1358" s="67"/>
      <c r="B1358" s="68"/>
    </row>
    <row r="1359" spans="1:2">
      <c r="A1359" s="67"/>
      <c r="B1359" s="68"/>
    </row>
    <row r="1360" spans="1:2">
      <c r="A1360" s="67"/>
      <c r="B1360" s="68"/>
    </row>
    <row r="1361" spans="1:2">
      <c r="A1361" s="67"/>
      <c r="B1361" s="68"/>
    </row>
    <row r="1362" spans="1:2">
      <c r="A1362" s="67"/>
      <c r="B1362" s="68"/>
    </row>
    <row r="1363" spans="1:2">
      <c r="A1363" s="67"/>
      <c r="B1363" s="68"/>
    </row>
    <row r="1364" spans="1:2">
      <c r="A1364" s="67"/>
      <c r="B1364" s="68"/>
    </row>
    <row r="1365" spans="1:2">
      <c r="A1365" s="67"/>
      <c r="B1365" s="68"/>
    </row>
    <row r="1366" spans="1:2">
      <c r="A1366" s="67"/>
      <c r="B1366" s="68"/>
    </row>
    <row r="1367" spans="1:2">
      <c r="A1367" s="67"/>
      <c r="B1367" s="68"/>
    </row>
    <row r="1368" spans="1:2">
      <c r="A1368" s="67"/>
      <c r="B1368" s="68"/>
    </row>
    <row r="1369" spans="1:2">
      <c r="A1369" s="67"/>
      <c r="B1369" s="68"/>
    </row>
    <row r="1370" spans="1:2">
      <c r="A1370" s="67"/>
      <c r="B1370" s="68"/>
    </row>
    <row r="1371" spans="1:2">
      <c r="A1371" s="67"/>
      <c r="B1371" s="68"/>
    </row>
    <row r="1372" spans="1:2">
      <c r="A1372" s="67"/>
      <c r="B1372" s="68"/>
    </row>
    <row r="1373" spans="1:2">
      <c r="A1373" s="67"/>
      <c r="B1373" s="68"/>
    </row>
    <row r="1374" spans="1:2">
      <c r="A1374" s="67"/>
      <c r="B1374" s="68"/>
    </row>
    <row r="1375" spans="1:2">
      <c r="A1375" s="67"/>
      <c r="B1375" s="68"/>
    </row>
    <row r="1376" spans="1:2">
      <c r="A1376" s="67"/>
      <c r="B1376" s="68"/>
    </row>
    <row r="1377" spans="1:2">
      <c r="A1377" s="67"/>
      <c r="B1377" s="68"/>
    </row>
    <row r="1378" spans="1:2">
      <c r="A1378" s="67"/>
      <c r="B1378" s="68"/>
    </row>
    <row r="1379" spans="1:2">
      <c r="A1379" s="67"/>
      <c r="B1379" s="68"/>
    </row>
    <row r="1380" spans="1:2">
      <c r="A1380" s="67"/>
      <c r="B1380" s="68"/>
    </row>
    <row r="1381" spans="1:2">
      <c r="A1381" s="67"/>
      <c r="B1381" s="68"/>
    </row>
    <row r="1382" spans="1:2">
      <c r="A1382" s="67"/>
      <c r="B1382" s="68"/>
    </row>
    <row r="1383" spans="1:2">
      <c r="A1383" s="67"/>
      <c r="B1383" s="68"/>
    </row>
    <row r="1384" spans="1:2">
      <c r="A1384" s="67"/>
      <c r="B1384" s="68"/>
    </row>
    <row r="1385" spans="1:2">
      <c r="A1385" s="67"/>
      <c r="B1385" s="68"/>
    </row>
    <row r="1386" spans="1:2">
      <c r="A1386" s="67"/>
      <c r="B1386" s="68"/>
    </row>
    <row r="1387" spans="1:2">
      <c r="A1387" s="67"/>
      <c r="B1387" s="68"/>
    </row>
    <row r="1388" spans="1:2">
      <c r="A1388" s="67"/>
      <c r="B1388" s="68"/>
    </row>
    <row r="1389" spans="1:2">
      <c r="A1389" s="67"/>
      <c r="B1389" s="68"/>
    </row>
    <row r="1390" spans="1:2">
      <c r="A1390" s="67"/>
      <c r="B1390" s="68"/>
    </row>
    <row r="1391" spans="1:2">
      <c r="A1391" s="67"/>
      <c r="B1391" s="68"/>
    </row>
    <row r="1392" spans="1:2">
      <c r="A1392" s="67"/>
      <c r="B1392" s="68"/>
    </row>
    <row r="1393" spans="1:2">
      <c r="A1393" s="67"/>
      <c r="B1393" s="68"/>
    </row>
    <row r="1394" spans="1:2">
      <c r="A1394" s="67"/>
      <c r="B1394" s="68"/>
    </row>
    <row r="1395" spans="1:2">
      <c r="A1395" s="67"/>
      <c r="B1395" s="68"/>
    </row>
    <row r="1396" spans="1:2">
      <c r="A1396" s="67"/>
      <c r="B1396" s="68"/>
    </row>
    <row r="1397" spans="1:2">
      <c r="A1397" s="67"/>
      <c r="B1397" s="68"/>
    </row>
    <row r="1398" spans="1:2">
      <c r="A1398" s="67"/>
      <c r="B1398" s="68"/>
    </row>
    <row r="1399" spans="1:2">
      <c r="A1399" s="67"/>
      <c r="B1399" s="68"/>
    </row>
    <row r="1400" spans="1:2">
      <c r="A1400" s="67"/>
      <c r="B1400" s="68"/>
    </row>
    <row r="1401" spans="1:2">
      <c r="A1401" s="67"/>
      <c r="B1401" s="68"/>
    </row>
    <row r="1402" spans="1:2">
      <c r="A1402" s="67"/>
      <c r="B1402" s="68"/>
    </row>
    <row r="1403" spans="1:2">
      <c r="A1403" s="67"/>
      <c r="B1403" s="68"/>
    </row>
    <row r="1404" spans="1:2">
      <c r="A1404" s="67"/>
      <c r="B1404" s="68"/>
    </row>
    <row r="1405" spans="1:2">
      <c r="A1405" s="67"/>
      <c r="B1405" s="68"/>
    </row>
    <row r="1406" spans="1:2">
      <c r="A1406" s="67"/>
      <c r="B1406" s="68"/>
    </row>
    <row r="1407" spans="1:2">
      <c r="A1407" s="67"/>
      <c r="B1407" s="68"/>
    </row>
    <row r="1408" spans="1:2">
      <c r="A1408" s="67"/>
      <c r="B1408" s="68"/>
    </row>
    <row r="1409" spans="1:2">
      <c r="A1409" s="67"/>
      <c r="B1409" s="68"/>
    </row>
    <row r="1410" spans="1:2">
      <c r="A1410" s="67"/>
      <c r="B1410" s="68"/>
    </row>
    <row r="1411" spans="1:2">
      <c r="A1411" s="67"/>
      <c r="B1411" s="68"/>
    </row>
    <row r="1412" spans="1:2">
      <c r="A1412" s="67"/>
      <c r="B1412" s="68"/>
    </row>
    <row r="1413" spans="1:2">
      <c r="A1413" s="67"/>
      <c r="B1413" s="68"/>
    </row>
    <row r="1414" spans="1:2">
      <c r="A1414" s="67"/>
      <c r="B1414" s="68"/>
    </row>
    <row r="1415" spans="1:2">
      <c r="A1415" s="67"/>
      <c r="B1415" s="68"/>
    </row>
    <row r="1416" spans="1:2">
      <c r="A1416" s="67"/>
      <c r="B1416" s="68"/>
    </row>
    <row r="1417" spans="1:2">
      <c r="A1417" s="67"/>
      <c r="B1417" s="68"/>
    </row>
    <row r="1418" spans="1:2">
      <c r="A1418" s="67"/>
      <c r="B1418" s="68"/>
    </row>
    <row r="1419" spans="1:2">
      <c r="A1419" s="67"/>
      <c r="B1419" s="68"/>
    </row>
    <row r="1420" spans="1:2">
      <c r="A1420" s="67"/>
      <c r="B1420" s="68"/>
    </row>
    <row r="1421" spans="1:2">
      <c r="A1421" s="67"/>
      <c r="B1421" s="68"/>
    </row>
    <row r="1422" spans="1:2">
      <c r="A1422" s="67"/>
      <c r="B1422" s="68"/>
    </row>
    <row r="1423" spans="1:2">
      <c r="A1423" s="67"/>
      <c r="B1423" s="68"/>
    </row>
    <row r="1424" spans="1:2">
      <c r="A1424" s="67"/>
      <c r="B1424" s="68"/>
    </row>
    <row r="1425" spans="1:2">
      <c r="A1425" s="67"/>
      <c r="B1425" s="68"/>
    </row>
    <row r="1426" spans="1:2">
      <c r="A1426" s="67"/>
      <c r="B1426" s="68"/>
    </row>
    <row r="1427" spans="1:2">
      <c r="A1427" s="67"/>
      <c r="B1427" s="68"/>
    </row>
    <row r="1428" spans="1:2">
      <c r="A1428" s="67"/>
      <c r="B1428" s="68"/>
    </row>
    <row r="1429" spans="1:2">
      <c r="A1429" s="67"/>
      <c r="B1429" s="68"/>
    </row>
    <row r="1430" spans="1:2">
      <c r="A1430" s="67"/>
      <c r="B1430" s="68"/>
    </row>
    <row r="1431" spans="1:2">
      <c r="A1431" s="67"/>
      <c r="B1431" s="68"/>
    </row>
    <row r="1432" spans="1:2">
      <c r="A1432" s="67"/>
      <c r="B1432" s="68"/>
    </row>
    <row r="1433" spans="1:2">
      <c r="A1433" s="67"/>
      <c r="B1433" s="68"/>
    </row>
    <row r="1434" spans="1:2">
      <c r="A1434" s="67"/>
      <c r="B1434" s="68"/>
    </row>
    <row r="1435" spans="1:2">
      <c r="A1435" s="67"/>
      <c r="B1435" s="68"/>
    </row>
    <row r="1436" spans="1:2">
      <c r="A1436" s="67"/>
      <c r="B1436" s="68"/>
    </row>
    <row r="1437" spans="1:2">
      <c r="A1437" s="67"/>
      <c r="B1437" s="68"/>
    </row>
    <row r="1438" spans="1:2">
      <c r="A1438" s="67"/>
      <c r="B1438" s="68"/>
    </row>
    <row r="1439" spans="1:2">
      <c r="A1439" s="67"/>
      <c r="B1439" s="68"/>
    </row>
    <row r="1440" spans="1:2">
      <c r="A1440" s="67"/>
      <c r="B1440" s="68"/>
    </row>
    <row r="1441" spans="1:2">
      <c r="A1441" s="67"/>
      <c r="B1441" s="68"/>
    </row>
    <row r="1442" spans="1:2">
      <c r="A1442" s="67"/>
      <c r="B1442" s="68"/>
    </row>
    <row r="1443" spans="1:2">
      <c r="A1443" s="67"/>
      <c r="B1443" s="68"/>
    </row>
    <row r="1444" spans="1:2">
      <c r="A1444" s="67"/>
      <c r="B1444" s="68"/>
    </row>
    <row r="1445" spans="1:2">
      <c r="A1445" s="67"/>
      <c r="B1445" s="68"/>
    </row>
    <row r="1446" spans="1:2">
      <c r="A1446" s="67"/>
      <c r="B1446" s="68"/>
    </row>
    <row r="1447" spans="1:2">
      <c r="A1447" s="67"/>
      <c r="B1447" s="68"/>
    </row>
    <row r="1448" spans="1:2">
      <c r="A1448" s="67"/>
      <c r="B1448" s="68"/>
    </row>
    <row r="1449" spans="1:2">
      <c r="A1449" s="67"/>
      <c r="B1449" s="68"/>
    </row>
    <row r="1450" spans="1:2">
      <c r="A1450" s="67"/>
      <c r="B1450" s="68"/>
    </row>
    <row r="1451" spans="1:2">
      <c r="A1451" s="67"/>
      <c r="B1451" s="68"/>
    </row>
    <row r="1452" spans="1:2">
      <c r="A1452" s="67"/>
      <c r="B1452" s="68"/>
    </row>
    <row r="1453" spans="1:2">
      <c r="A1453" s="67"/>
      <c r="B1453" s="68"/>
    </row>
    <row r="1454" spans="1:2">
      <c r="A1454" s="67"/>
      <c r="B1454" s="68"/>
    </row>
    <row r="1455" spans="1:2">
      <c r="A1455" s="67"/>
      <c r="B1455" s="68"/>
    </row>
    <row r="1456" spans="1:2">
      <c r="A1456" s="67"/>
      <c r="B1456" s="68"/>
    </row>
    <row r="1457" spans="1:2">
      <c r="A1457" s="67"/>
      <c r="B1457" s="68"/>
    </row>
    <row r="1458" spans="1:2">
      <c r="A1458" s="67"/>
      <c r="B1458" s="68"/>
    </row>
    <row r="1459" spans="1:2">
      <c r="A1459" s="67"/>
      <c r="B1459" s="68"/>
    </row>
    <row r="1460" spans="1:2">
      <c r="A1460" s="67"/>
      <c r="B1460" s="68"/>
    </row>
    <row r="1461" spans="1:2">
      <c r="A1461" s="67"/>
      <c r="B1461" s="68"/>
    </row>
    <row r="1462" spans="1:2">
      <c r="A1462" s="67"/>
      <c r="B1462" s="68"/>
    </row>
    <row r="1463" spans="1:2">
      <c r="A1463" s="67"/>
      <c r="B1463" s="68"/>
    </row>
    <row r="1464" spans="1:2">
      <c r="A1464" s="67"/>
      <c r="B1464" s="68"/>
    </row>
    <row r="1465" spans="1:2">
      <c r="A1465" s="67"/>
      <c r="B1465" s="68"/>
    </row>
    <row r="1466" spans="1:2">
      <c r="A1466" s="67"/>
      <c r="B1466" s="68"/>
    </row>
    <row r="1467" spans="1:2">
      <c r="A1467" s="67"/>
      <c r="B1467" s="68"/>
    </row>
    <row r="1468" spans="1:2">
      <c r="A1468" s="67"/>
      <c r="B1468" s="68"/>
    </row>
    <row r="1469" spans="1:2">
      <c r="A1469" s="67"/>
      <c r="B1469" s="68"/>
    </row>
    <row r="1470" spans="1:2">
      <c r="A1470" s="67"/>
      <c r="B1470" s="68"/>
    </row>
    <row r="1471" spans="1:2">
      <c r="A1471" s="67"/>
      <c r="B1471" s="68"/>
    </row>
    <row r="1472" spans="1:2">
      <c r="A1472" s="67"/>
      <c r="B1472" s="68"/>
    </row>
    <row r="1473" spans="1:2">
      <c r="A1473" s="67"/>
      <c r="B1473" s="68"/>
    </row>
    <row r="1474" spans="1:2">
      <c r="A1474" s="67"/>
      <c r="B1474" s="68"/>
    </row>
    <row r="1475" spans="1:2">
      <c r="A1475" s="67"/>
      <c r="B1475" s="68"/>
    </row>
    <row r="1476" spans="1:2">
      <c r="A1476" s="67"/>
      <c r="B1476" s="68"/>
    </row>
    <row r="1477" spans="1:2">
      <c r="A1477" s="67"/>
      <c r="B1477" s="68"/>
    </row>
    <row r="1478" spans="1:2">
      <c r="A1478" s="67"/>
      <c r="B1478" s="68"/>
    </row>
    <row r="1479" spans="1:2">
      <c r="A1479" s="67"/>
      <c r="B1479" s="68"/>
    </row>
    <row r="1480" spans="1:2">
      <c r="A1480" s="67"/>
      <c r="B1480" s="68"/>
    </row>
    <row r="1481" spans="1:2">
      <c r="A1481" s="67"/>
      <c r="B1481" s="68"/>
    </row>
    <row r="1482" spans="1:2">
      <c r="A1482" s="67"/>
      <c r="B1482" s="68"/>
    </row>
    <row r="1483" spans="1:2">
      <c r="A1483" s="67"/>
      <c r="B1483" s="68"/>
    </row>
    <row r="1484" spans="1:2">
      <c r="A1484" s="67"/>
      <c r="B1484" s="68"/>
    </row>
    <row r="1485" spans="1:2">
      <c r="A1485" s="67"/>
      <c r="B1485" s="68"/>
    </row>
    <row r="1486" spans="1:2">
      <c r="A1486" s="67"/>
      <c r="B1486" s="68"/>
    </row>
    <row r="1487" spans="1:2">
      <c r="A1487" s="67"/>
      <c r="B1487" s="68"/>
    </row>
    <row r="1488" spans="1:2">
      <c r="A1488" s="67"/>
      <c r="B1488" s="68"/>
    </row>
    <row r="1489" spans="1:2">
      <c r="A1489" s="67"/>
      <c r="B1489" s="68"/>
    </row>
    <row r="1490" spans="1:2">
      <c r="A1490" s="67"/>
      <c r="B1490" s="68"/>
    </row>
    <row r="1491" spans="1:2">
      <c r="A1491" s="67"/>
      <c r="B1491" s="68"/>
    </row>
    <row r="1492" spans="1:2">
      <c r="A1492" s="67"/>
      <c r="B1492" s="68"/>
    </row>
    <row r="1493" spans="1:2">
      <c r="A1493" s="67"/>
      <c r="B1493" s="68"/>
    </row>
    <row r="1494" spans="1:2">
      <c r="A1494" s="67"/>
      <c r="B1494" s="68"/>
    </row>
    <row r="1495" spans="1:2">
      <c r="A1495" s="67"/>
      <c r="B1495" s="68"/>
    </row>
    <row r="1496" spans="1:2">
      <c r="A1496" s="67"/>
      <c r="B1496" s="68"/>
    </row>
    <row r="1497" spans="1:2">
      <c r="A1497" s="67"/>
      <c r="B1497" s="68"/>
    </row>
    <row r="1498" spans="1:2">
      <c r="A1498" s="67"/>
      <c r="B1498" s="68"/>
    </row>
    <row r="1499" spans="1:2">
      <c r="A1499" s="67"/>
      <c r="B1499" s="68"/>
    </row>
    <row r="1500" spans="1:2">
      <c r="A1500" s="67"/>
      <c r="B1500" s="68"/>
    </row>
    <row r="1501" spans="1:2">
      <c r="A1501" s="67"/>
      <c r="B1501" s="68"/>
    </row>
    <row r="1502" spans="1:2">
      <c r="A1502" s="69"/>
      <c r="B1502" s="70"/>
    </row>
    <row r="1503" spans="1:2" ht="15"/>
    <row r="1504" spans="1:2" ht="15"/>
    <row r="1505" ht="15"/>
    <row r="1506" ht="15"/>
    <row r="1507" ht="15"/>
    <row r="1508" ht="15"/>
  </sheetData>
  <dataValidations count="4">
    <dataValidation type="list" allowBlank="1" showInputMessage="1" showErrorMessage="1" sqref="A1493:A1048576" xr:uid="{00000000-0002-0000-0300-000000000000}">
      <formula1>INDIRECT("Recs[Text]")</formula1>
    </dataValidation>
    <dataValidation type="list" allowBlank="1" showInputMessage="1" showErrorMessage="1" sqref="B1547:B1048576" xr:uid="{00000000-0002-0000-0300-000001000000}">
      <formula1>INDIRECT("Spks[Speaker]")</formula1>
    </dataValidation>
    <dataValidation type="list" allowBlank="1" showInputMessage="1" showErrorMessage="1" sqref="A606:A656 A713:A722 A1033:A1492 A906:A960 A971:A988 A1015:A1018 A298:A371 A724:A902 A373:A594 A2:A278" xr:uid="{00000000-0002-0000-0300-000003000000}">
      <formula1>INDIRECT("Rcrdngs[Text]")</formula1>
    </dataValidation>
    <dataValidation type="list" allowBlank="1" showInputMessage="1" showErrorMessage="1" sqref="B219:B229 B1010:B1502 B278 B2:B215 B298:B594 B606:B1008" xr:uid="{00000000-0002-0000-0300-000002000000}">
      <formula1>INDIRECT("Spkrs[Speaker]")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00"/>
  <sheetViews>
    <sheetView workbookViewId="0">
      <selection activeCell="B2" sqref="B2"/>
    </sheetView>
  </sheetViews>
  <sheetFormatPr defaultColWidth="8.7109375" defaultRowHeight="14.45"/>
  <cols>
    <col min="1" max="1" width="64.140625" customWidth="1"/>
    <col min="2" max="2" width="46.5703125" customWidth="1"/>
  </cols>
  <sheetData>
    <row r="1" spans="1:4">
      <c r="A1" s="11" t="s">
        <v>1805</v>
      </c>
      <c r="B1" s="11" t="s">
        <v>4</v>
      </c>
      <c r="D1" t="s">
        <v>1820</v>
      </c>
    </row>
    <row r="2" spans="1:4">
      <c r="A2" s="10" t="s">
        <v>27</v>
      </c>
      <c r="B2" s="10" t="s">
        <v>1821</v>
      </c>
      <c r="D2" t="s">
        <v>1807</v>
      </c>
    </row>
    <row r="3" spans="1:4">
      <c r="A3" s="10" t="s">
        <v>44</v>
      </c>
      <c r="B3" s="10" t="s">
        <v>1822</v>
      </c>
    </row>
    <row r="4" spans="1:4">
      <c r="A4" s="10" t="s">
        <v>48</v>
      </c>
      <c r="B4" s="10" t="s">
        <v>1823</v>
      </c>
    </row>
    <row r="5" spans="1:4">
      <c r="A5" s="10" t="s">
        <v>51</v>
      </c>
      <c r="B5" s="10" t="s">
        <v>1824</v>
      </c>
    </row>
    <row r="6" spans="1:4">
      <c r="A6" s="10" t="s">
        <v>54</v>
      </c>
      <c r="B6" s="10" t="s">
        <v>1824</v>
      </c>
    </row>
    <row r="7" spans="1:4">
      <c r="A7" s="10" t="s">
        <v>57</v>
      </c>
      <c r="B7" s="10" t="s">
        <v>1824</v>
      </c>
    </row>
    <row r="8" spans="1:4">
      <c r="A8" s="10" t="s">
        <v>60</v>
      </c>
      <c r="B8" s="10" t="s">
        <v>1825</v>
      </c>
    </row>
    <row r="9" spans="1:4">
      <c r="A9" s="10" t="s">
        <v>60</v>
      </c>
      <c r="B9" s="10" t="s">
        <v>1826</v>
      </c>
    </row>
    <row r="10" spans="1:4">
      <c r="A10" s="10" t="s">
        <v>64</v>
      </c>
      <c r="B10" s="10" t="s">
        <v>1827</v>
      </c>
    </row>
    <row r="11" spans="1:4">
      <c r="A11" s="10" t="s">
        <v>65</v>
      </c>
      <c r="B11" s="10" t="s">
        <v>1370</v>
      </c>
    </row>
    <row r="12" spans="1:4">
      <c r="A12" s="10" t="s">
        <v>71</v>
      </c>
      <c r="B12" s="10" t="s">
        <v>1828</v>
      </c>
    </row>
    <row r="13" spans="1:4">
      <c r="A13" s="10" t="s">
        <v>74</v>
      </c>
      <c r="B13" s="10" t="s">
        <v>1821</v>
      </c>
    </row>
    <row r="14" spans="1:4">
      <c r="A14" s="10" t="s">
        <v>77</v>
      </c>
      <c r="B14" s="10" t="s">
        <v>1829</v>
      </c>
    </row>
    <row r="15" spans="1:4">
      <c r="A15" s="10" t="s">
        <v>77</v>
      </c>
      <c r="B15" s="10" t="s">
        <v>1830</v>
      </c>
    </row>
    <row r="16" spans="1:4">
      <c r="A16" s="10" t="s">
        <v>82</v>
      </c>
      <c r="B16" s="10" t="s">
        <v>1826</v>
      </c>
    </row>
    <row r="17" spans="1:2">
      <c r="A17" s="10" t="s">
        <v>82</v>
      </c>
      <c r="B17" s="10" t="s">
        <v>1828</v>
      </c>
    </row>
    <row r="18" spans="1:2">
      <c r="A18" s="10" t="s">
        <v>82</v>
      </c>
      <c r="B18" s="10" t="s">
        <v>1831</v>
      </c>
    </row>
    <row r="19" spans="1:2">
      <c r="A19" s="10" t="s">
        <v>85</v>
      </c>
      <c r="B19" s="10" t="s">
        <v>1832</v>
      </c>
    </row>
    <row r="20" spans="1:2">
      <c r="A20" s="10" t="s">
        <v>89</v>
      </c>
      <c r="B20" s="10" t="s">
        <v>1832</v>
      </c>
    </row>
    <row r="21" spans="1:2">
      <c r="A21" s="10" t="s">
        <v>92</v>
      </c>
      <c r="B21" s="10" t="s">
        <v>1832</v>
      </c>
    </row>
    <row r="22" spans="1:2">
      <c r="A22" s="10" t="s">
        <v>95</v>
      </c>
      <c r="B22" s="10" t="s">
        <v>1833</v>
      </c>
    </row>
    <row r="23" spans="1:2">
      <c r="A23" s="10" t="s">
        <v>98</v>
      </c>
      <c r="B23" s="10" t="s">
        <v>1829</v>
      </c>
    </row>
    <row r="24" spans="1:2">
      <c r="A24" s="10" t="s">
        <v>101</v>
      </c>
      <c r="B24" s="10" t="s">
        <v>1829</v>
      </c>
    </row>
    <row r="25" spans="1:2">
      <c r="A25" s="10" t="s">
        <v>101</v>
      </c>
      <c r="B25" s="10" t="s">
        <v>1834</v>
      </c>
    </row>
    <row r="26" spans="1:2">
      <c r="A26" s="10" t="s">
        <v>103</v>
      </c>
      <c r="B26" s="10" t="s">
        <v>1827</v>
      </c>
    </row>
    <row r="27" spans="1:2">
      <c r="A27" s="10" t="s">
        <v>103</v>
      </c>
      <c r="B27" s="10" t="s">
        <v>1370</v>
      </c>
    </row>
    <row r="28" spans="1:2">
      <c r="A28" s="10" t="s">
        <v>104</v>
      </c>
      <c r="B28" s="10" t="s">
        <v>1370</v>
      </c>
    </row>
    <row r="29" spans="1:2">
      <c r="A29" s="10" t="s">
        <v>111</v>
      </c>
      <c r="B29" s="10" t="s">
        <v>1826</v>
      </c>
    </row>
    <row r="30" spans="1:2">
      <c r="A30" s="10" t="s">
        <v>114</v>
      </c>
      <c r="B30" s="10" t="s">
        <v>1821</v>
      </c>
    </row>
    <row r="31" spans="1:2">
      <c r="A31" s="10" t="s">
        <v>117</v>
      </c>
      <c r="B31" s="10" t="s">
        <v>1821</v>
      </c>
    </row>
    <row r="32" spans="1:2">
      <c r="A32" s="10" t="s">
        <v>120</v>
      </c>
      <c r="B32" s="10" t="s">
        <v>1826</v>
      </c>
    </row>
    <row r="33" spans="1:2">
      <c r="A33" s="10" t="s">
        <v>121</v>
      </c>
      <c r="B33" s="10" t="s">
        <v>1826</v>
      </c>
    </row>
    <row r="34" spans="1:2">
      <c r="A34" s="10" t="s">
        <v>124</v>
      </c>
      <c r="B34" s="10" t="s">
        <v>1826</v>
      </c>
    </row>
    <row r="35" spans="1:2">
      <c r="A35" s="10" t="s">
        <v>127</v>
      </c>
      <c r="B35" s="10" t="s">
        <v>1826</v>
      </c>
    </row>
    <row r="36" spans="1:2">
      <c r="A36" s="10" t="s">
        <v>130</v>
      </c>
      <c r="B36" s="10" t="s">
        <v>1826</v>
      </c>
    </row>
    <row r="37" spans="1:2">
      <c r="A37" s="10" t="s">
        <v>133</v>
      </c>
      <c r="B37" s="10" t="s">
        <v>1370</v>
      </c>
    </row>
    <row r="38" spans="1:2">
      <c r="A38" s="10" t="s">
        <v>134</v>
      </c>
      <c r="B38" s="10" t="s">
        <v>1370</v>
      </c>
    </row>
    <row r="39" spans="1:2">
      <c r="A39" s="10" t="s">
        <v>137</v>
      </c>
      <c r="B39" s="10" t="s">
        <v>1370</v>
      </c>
    </row>
    <row r="40" spans="1:2">
      <c r="A40" s="10" t="s">
        <v>133</v>
      </c>
      <c r="B40" s="10" t="s">
        <v>1826</v>
      </c>
    </row>
    <row r="41" spans="1:2">
      <c r="A41" s="10" t="s">
        <v>134</v>
      </c>
      <c r="B41" s="10" t="s">
        <v>1826</v>
      </c>
    </row>
    <row r="42" spans="1:2">
      <c r="A42" s="10" t="s">
        <v>137</v>
      </c>
      <c r="B42" s="10" t="s">
        <v>1826</v>
      </c>
    </row>
    <row r="43" spans="1:2">
      <c r="A43" s="10" t="s">
        <v>137</v>
      </c>
      <c r="B43" s="10" t="s">
        <v>1835</v>
      </c>
    </row>
    <row r="44" spans="1:2">
      <c r="A44" s="10" t="s">
        <v>28</v>
      </c>
      <c r="B44" s="10" t="s">
        <v>1821</v>
      </c>
    </row>
    <row r="45" spans="1:2">
      <c r="A45" s="10" t="s">
        <v>28</v>
      </c>
      <c r="B45" s="10" t="s">
        <v>1836</v>
      </c>
    </row>
    <row r="46" spans="1:2">
      <c r="A46" s="10" t="s">
        <v>28</v>
      </c>
      <c r="B46" s="10" t="s">
        <v>1837</v>
      </c>
    </row>
    <row r="47" spans="1:2">
      <c r="A47" s="10" t="s">
        <v>142</v>
      </c>
      <c r="B47" s="10" t="s">
        <v>1834</v>
      </c>
    </row>
    <row r="48" spans="1:2">
      <c r="A48" s="10" t="s">
        <v>145</v>
      </c>
      <c r="B48" s="10" t="s">
        <v>1826</v>
      </c>
    </row>
    <row r="49" spans="1:2">
      <c r="A49" s="10" t="s">
        <v>145</v>
      </c>
      <c r="B49" s="10" t="s">
        <v>1838</v>
      </c>
    </row>
    <row r="50" spans="1:2">
      <c r="A50" s="10" t="s">
        <v>148</v>
      </c>
      <c r="B50" s="10" t="s">
        <v>1826</v>
      </c>
    </row>
    <row r="51" spans="1:2">
      <c r="A51" s="10" t="s">
        <v>149</v>
      </c>
      <c r="B51" s="10" t="s">
        <v>1821</v>
      </c>
    </row>
    <row r="52" spans="1:2">
      <c r="A52" s="10" t="s">
        <v>153</v>
      </c>
      <c r="B52" s="10" t="s">
        <v>1823</v>
      </c>
    </row>
    <row r="53" spans="1:2">
      <c r="A53" s="10" t="s">
        <v>156</v>
      </c>
      <c r="B53" s="10" t="s">
        <v>1839</v>
      </c>
    </row>
    <row r="54" spans="1:2">
      <c r="A54" s="10" t="s">
        <v>160</v>
      </c>
      <c r="B54" s="10" t="s">
        <v>1839</v>
      </c>
    </row>
    <row r="55" spans="1:2">
      <c r="A55" s="10" t="s">
        <v>163</v>
      </c>
      <c r="B55" s="10" t="s">
        <v>1840</v>
      </c>
    </row>
    <row r="56" spans="1:2">
      <c r="A56" s="10" t="s">
        <v>166</v>
      </c>
      <c r="B56" s="10" t="s">
        <v>1841</v>
      </c>
    </row>
    <row r="57" spans="1:2">
      <c r="A57" s="10" t="s">
        <v>168</v>
      </c>
      <c r="B57" s="10" t="s">
        <v>1821</v>
      </c>
    </row>
    <row r="58" spans="1:2">
      <c r="A58" s="10" t="s">
        <v>168</v>
      </c>
      <c r="B58" s="10" t="s">
        <v>1824</v>
      </c>
    </row>
    <row r="59" spans="1:2">
      <c r="A59" s="10" t="s">
        <v>172</v>
      </c>
      <c r="B59" s="10" t="s">
        <v>1826</v>
      </c>
    </row>
    <row r="60" spans="1:2">
      <c r="A60" s="10" t="s">
        <v>172</v>
      </c>
      <c r="B60" s="10" t="s">
        <v>1821</v>
      </c>
    </row>
    <row r="61" spans="1:2">
      <c r="A61" s="10" t="s">
        <v>171</v>
      </c>
      <c r="B61" s="10" t="s">
        <v>1842</v>
      </c>
    </row>
    <row r="62" spans="1:2">
      <c r="A62" s="10" t="s">
        <v>172</v>
      </c>
      <c r="B62" s="10" t="s">
        <v>1842</v>
      </c>
    </row>
    <row r="63" spans="1:2">
      <c r="A63" s="10" t="s">
        <v>175</v>
      </c>
      <c r="B63" s="10" t="s">
        <v>1842</v>
      </c>
    </row>
    <row r="64" spans="1:2">
      <c r="A64" s="10" t="s">
        <v>177</v>
      </c>
      <c r="B64" s="10" t="s">
        <v>1842</v>
      </c>
    </row>
    <row r="65" spans="1:2">
      <c r="A65" s="10" t="s">
        <v>180</v>
      </c>
      <c r="B65" s="10" t="s">
        <v>1842</v>
      </c>
    </row>
    <row r="66" spans="1:2">
      <c r="A66" s="10" t="s">
        <v>181</v>
      </c>
      <c r="B66" s="10" t="s">
        <v>1842</v>
      </c>
    </row>
    <row r="67" spans="1:2">
      <c r="A67" s="10" t="s">
        <v>184</v>
      </c>
      <c r="B67" s="10" t="s">
        <v>1842</v>
      </c>
    </row>
    <row r="68" spans="1:2">
      <c r="A68" s="10" t="s">
        <v>187</v>
      </c>
      <c r="B68" s="10" t="s">
        <v>1842</v>
      </c>
    </row>
    <row r="69" spans="1:2">
      <c r="A69" s="10" t="s">
        <v>190</v>
      </c>
      <c r="B69" s="10" t="s">
        <v>1842</v>
      </c>
    </row>
    <row r="70" spans="1:2">
      <c r="A70" s="10" t="s">
        <v>193</v>
      </c>
      <c r="B70" s="10" t="s">
        <v>1842</v>
      </c>
    </row>
    <row r="71" spans="1:2">
      <c r="A71" s="10" t="s">
        <v>196</v>
      </c>
      <c r="B71" s="10" t="s">
        <v>1842</v>
      </c>
    </row>
    <row r="72" spans="1:2">
      <c r="A72" s="10" t="s">
        <v>199</v>
      </c>
      <c r="B72" s="10" t="s">
        <v>1842</v>
      </c>
    </row>
    <row r="73" spans="1:2">
      <c r="A73" s="10" t="s">
        <v>202</v>
      </c>
      <c r="B73" s="10" t="s">
        <v>1842</v>
      </c>
    </row>
    <row r="74" spans="1:2">
      <c r="A74" s="10" t="s">
        <v>207</v>
      </c>
      <c r="B74" s="10" t="s">
        <v>1826</v>
      </c>
    </row>
    <row r="75" spans="1:2">
      <c r="A75" s="10" t="s">
        <v>207</v>
      </c>
      <c r="B75" s="10" t="s">
        <v>1843</v>
      </c>
    </row>
    <row r="76" spans="1:2">
      <c r="A76" s="10" t="s">
        <v>208</v>
      </c>
      <c r="B76" s="10" t="s">
        <v>1826</v>
      </c>
    </row>
    <row r="77" spans="1:2">
      <c r="A77" s="10" t="s">
        <v>208</v>
      </c>
      <c r="B77" s="10" t="s">
        <v>1844</v>
      </c>
    </row>
    <row r="78" spans="1:2">
      <c r="A78" s="10" t="s">
        <v>211</v>
      </c>
      <c r="B78" s="10" t="s">
        <v>1844</v>
      </c>
    </row>
    <row r="79" spans="1:2">
      <c r="A79" s="10" t="s">
        <v>217</v>
      </c>
      <c r="B79" s="10" t="s">
        <v>1845</v>
      </c>
    </row>
    <row r="80" spans="1:2">
      <c r="A80" s="10" t="s">
        <v>217</v>
      </c>
      <c r="B80" s="10" t="s">
        <v>1846</v>
      </c>
    </row>
    <row r="81" spans="1:2">
      <c r="A81" s="10" t="s">
        <v>217</v>
      </c>
      <c r="B81" s="10" t="s">
        <v>1821</v>
      </c>
    </row>
    <row r="82" spans="1:2">
      <c r="A82" s="10" t="s">
        <v>218</v>
      </c>
      <c r="B82" s="10" t="s">
        <v>1843</v>
      </c>
    </row>
    <row r="83" spans="1:2">
      <c r="A83" s="10" t="s">
        <v>218</v>
      </c>
      <c r="B83" s="10" t="s">
        <v>1847</v>
      </c>
    </row>
    <row r="84" spans="1:2">
      <c r="A84" s="10" t="s">
        <v>220</v>
      </c>
      <c r="B84" s="10" t="s">
        <v>1843</v>
      </c>
    </row>
    <row r="85" spans="1:2">
      <c r="A85" s="10" t="s">
        <v>220</v>
      </c>
      <c r="B85" s="10" t="s">
        <v>1846</v>
      </c>
    </row>
    <row r="86" spans="1:2">
      <c r="A86" s="10" t="s">
        <v>220</v>
      </c>
      <c r="B86" s="10" t="s">
        <v>1828</v>
      </c>
    </row>
    <row r="87" spans="1:2">
      <c r="A87" s="10" t="s">
        <v>223</v>
      </c>
      <c r="B87" s="10" t="s">
        <v>1840</v>
      </c>
    </row>
    <row r="88" spans="1:2">
      <c r="A88" s="10" t="s">
        <v>223</v>
      </c>
      <c r="B88" s="10" t="s">
        <v>1848</v>
      </c>
    </row>
    <row r="89" spans="1:2">
      <c r="A89" s="10" t="s">
        <v>228</v>
      </c>
      <c r="B89" s="10" t="s">
        <v>1840</v>
      </c>
    </row>
    <row r="90" spans="1:2">
      <c r="A90" s="10" t="s">
        <v>231</v>
      </c>
      <c r="B90" s="10" t="s">
        <v>1849</v>
      </c>
    </row>
    <row r="91" spans="1:2">
      <c r="A91" s="10" t="s">
        <v>234</v>
      </c>
      <c r="B91" s="10" t="s">
        <v>1850</v>
      </c>
    </row>
    <row r="92" spans="1:2">
      <c r="A92" s="10" t="s">
        <v>237</v>
      </c>
      <c r="B92" s="10" t="s">
        <v>1850</v>
      </c>
    </row>
    <row r="93" spans="1:2">
      <c r="A93" s="10" t="s">
        <v>237</v>
      </c>
      <c r="B93" s="10" t="s">
        <v>1825</v>
      </c>
    </row>
    <row r="94" spans="1:2">
      <c r="A94" s="10" t="s">
        <v>240</v>
      </c>
      <c r="B94" s="10" t="s">
        <v>1821</v>
      </c>
    </row>
    <row r="95" spans="1:2">
      <c r="A95" s="10" t="s">
        <v>243</v>
      </c>
      <c r="B95" s="10" t="s">
        <v>1851</v>
      </c>
    </row>
    <row r="96" spans="1:2">
      <c r="A96" s="10" t="s">
        <v>279</v>
      </c>
      <c r="B96" s="10" t="s">
        <v>1832</v>
      </c>
    </row>
    <row r="97" spans="1:2">
      <c r="A97" s="10" t="s">
        <v>246</v>
      </c>
      <c r="B97" s="10" t="s">
        <v>1832</v>
      </c>
    </row>
    <row r="98" spans="1:2">
      <c r="A98" s="10" t="s">
        <v>249</v>
      </c>
      <c r="B98" s="10" t="s">
        <v>1826</v>
      </c>
    </row>
    <row r="99" spans="1:2">
      <c r="A99" s="10" t="s">
        <v>253</v>
      </c>
      <c r="B99" s="10" t="s">
        <v>1826</v>
      </c>
    </row>
    <row r="100" spans="1:2">
      <c r="A100" s="10" t="s">
        <v>257</v>
      </c>
      <c r="B100" s="10" t="s">
        <v>1826</v>
      </c>
    </row>
    <row r="101" spans="1:2">
      <c r="A101" s="10" t="s">
        <v>261</v>
      </c>
      <c r="B101" s="10" t="s">
        <v>1826</v>
      </c>
    </row>
    <row r="102" spans="1:2">
      <c r="A102" s="10" t="s">
        <v>265</v>
      </c>
      <c r="B102" s="10" t="s">
        <v>1826</v>
      </c>
    </row>
    <row r="103" spans="1:2">
      <c r="A103" s="10" t="s">
        <v>268</v>
      </c>
      <c r="B103" s="10" t="s">
        <v>1852</v>
      </c>
    </row>
    <row r="104" spans="1:2">
      <c r="A104" s="10" t="s">
        <v>269</v>
      </c>
      <c r="B104" s="10" t="s">
        <v>1852</v>
      </c>
    </row>
    <row r="105" spans="1:2">
      <c r="A105" s="10"/>
      <c r="B105" s="10"/>
    </row>
    <row r="106" spans="1:2">
      <c r="A106" t="s">
        <v>1853</v>
      </c>
      <c r="B106" s="10" t="s">
        <v>1826</v>
      </c>
    </row>
    <row r="107" spans="1:2">
      <c r="A107" t="s">
        <v>836</v>
      </c>
      <c r="B107" s="10" t="s">
        <v>1821</v>
      </c>
    </row>
    <row r="108" spans="1:2">
      <c r="A108" t="s">
        <v>839</v>
      </c>
      <c r="B108" s="10" t="s">
        <v>1846</v>
      </c>
    </row>
    <row r="109" spans="1:2">
      <c r="A109" t="s">
        <v>841</v>
      </c>
      <c r="B109" s="10" t="s">
        <v>1832</v>
      </c>
    </row>
    <row r="110" spans="1:2">
      <c r="A110" t="s">
        <v>843</v>
      </c>
      <c r="B110" s="10" t="s">
        <v>1854</v>
      </c>
    </row>
    <row r="111" spans="1:2">
      <c r="A111" t="s">
        <v>845</v>
      </c>
      <c r="B111" s="10" t="s">
        <v>1855</v>
      </c>
    </row>
    <row r="112" spans="1:2">
      <c r="A112" t="s">
        <v>847</v>
      </c>
      <c r="B112" s="10" t="s">
        <v>1856</v>
      </c>
    </row>
    <row r="113" spans="1:2">
      <c r="A113" t="s">
        <v>849</v>
      </c>
      <c r="B113" s="10" t="s">
        <v>1828</v>
      </c>
    </row>
    <row r="114" spans="1:2">
      <c r="A114" t="s">
        <v>851</v>
      </c>
      <c r="B114" s="10" t="s">
        <v>1828</v>
      </c>
    </row>
    <row r="115" spans="1:2">
      <c r="A115" t="s">
        <v>852</v>
      </c>
      <c r="B115" s="10" t="s">
        <v>1834</v>
      </c>
    </row>
    <row r="116" spans="1:2">
      <c r="A116" t="s">
        <v>854</v>
      </c>
      <c r="B116" s="10" t="s">
        <v>1843</v>
      </c>
    </row>
    <row r="117" spans="1:2">
      <c r="A117" t="s">
        <v>856</v>
      </c>
      <c r="B117" s="10" t="s">
        <v>1854</v>
      </c>
    </row>
    <row r="118" spans="1:2">
      <c r="A118" t="s">
        <v>858</v>
      </c>
      <c r="B118" s="10" t="s">
        <v>1829</v>
      </c>
    </row>
    <row r="119" spans="1:2">
      <c r="A119" t="s">
        <v>858</v>
      </c>
      <c r="B119" s="10" t="s">
        <v>1834</v>
      </c>
    </row>
    <row r="120" spans="1:2">
      <c r="A120" t="s">
        <v>859</v>
      </c>
      <c r="B120" s="10" t="s">
        <v>1846</v>
      </c>
    </row>
    <row r="121" spans="1:2">
      <c r="A121" t="s">
        <v>861</v>
      </c>
      <c r="B121" s="10" t="s">
        <v>1848</v>
      </c>
    </row>
    <row r="122" spans="1:2">
      <c r="A122" t="s">
        <v>863</v>
      </c>
      <c r="B122" s="10" t="s">
        <v>1830</v>
      </c>
    </row>
    <row r="123" spans="1:2">
      <c r="A123" t="s">
        <v>864</v>
      </c>
      <c r="B123" s="10" t="s">
        <v>1857</v>
      </c>
    </row>
    <row r="124" spans="1:2">
      <c r="A124" t="s">
        <v>866</v>
      </c>
      <c r="B124" s="10" t="s">
        <v>1829</v>
      </c>
    </row>
    <row r="125" spans="1:2">
      <c r="A125" s="10" t="s">
        <v>867</v>
      </c>
      <c r="B125" s="10" t="s">
        <v>1858</v>
      </c>
    </row>
    <row r="126" spans="1:2">
      <c r="A126" s="10" t="s">
        <v>870</v>
      </c>
      <c r="B126" s="10" t="s">
        <v>1859</v>
      </c>
    </row>
    <row r="127" spans="1:2">
      <c r="A127" s="10" t="s">
        <v>870</v>
      </c>
      <c r="B127" s="10" t="s">
        <v>1826</v>
      </c>
    </row>
    <row r="128" spans="1:2">
      <c r="A128" s="10" t="s">
        <v>872</v>
      </c>
      <c r="B128" s="10" t="s">
        <v>1860</v>
      </c>
    </row>
    <row r="129" spans="1:2">
      <c r="A129" s="10" t="s">
        <v>874</v>
      </c>
      <c r="B129" s="10" t="s">
        <v>1834</v>
      </c>
    </row>
    <row r="130" spans="1:2">
      <c r="A130" s="10" t="s">
        <v>876</v>
      </c>
      <c r="B130" s="10" t="s">
        <v>1861</v>
      </c>
    </row>
    <row r="131" spans="1:2">
      <c r="A131" s="10" t="s">
        <v>877</v>
      </c>
      <c r="B131" s="10" t="s">
        <v>1862</v>
      </c>
    </row>
    <row r="132" spans="1:2">
      <c r="A132" s="10" t="s">
        <v>879</v>
      </c>
      <c r="B132" s="10" t="s">
        <v>1862</v>
      </c>
    </row>
    <row r="133" spans="1:2">
      <c r="A133" s="10" t="s">
        <v>881</v>
      </c>
      <c r="B133" s="10" t="s">
        <v>1862</v>
      </c>
    </row>
    <row r="134" spans="1:2">
      <c r="A134" s="10" t="s">
        <v>883</v>
      </c>
      <c r="B134" s="10" t="s">
        <v>1846</v>
      </c>
    </row>
    <row r="135" spans="1:2">
      <c r="A135" s="10" t="s">
        <v>885</v>
      </c>
      <c r="B135" s="10" t="s">
        <v>1863</v>
      </c>
    </row>
    <row r="136" spans="1:2">
      <c r="A136" s="10" t="s">
        <v>887</v>
      </c>
      <c r="B136" s="10" t="s">
        <v>1863</v>
      </c>
    </row>
    <row r="137" spans="1:2">
      <c r="A137" s="10" t="s">
        <v>889</v>
      </c>
      <c r="B137" s="10" t="s">
        <v>1863</v>
      </c>
    </row>
    <row r="138" spans="1:2">
      <c r="A138" s="10" t="s">
        <v>890</v>
      </c>
      <c r="B138" s="10" t="s">
        <v>1834</v>
      </c>
    </row>
    <row r="139" spans="1:2">
      <c r="A139" s="10" t="s">
        <v>892</v>
      </c>
      <c r="B139" s="10" t="s">
        <v>1855</v>
      </c>
    </row>
    <row r="140" spans="1:2">
      <c r="A140" s="10" t="s">
        <v>893</v>
      </c>
      <c r="B140" s="10" t="s">
        <v>1826</v>
      </c>
    </row>
    <row r="141" spans="1:2">
      <c r="A141" s="10" t="s">
        <v>894</v>
      </c>
      <c r="B141" s="10" t="s">
        <v>1864</v>
      </c>
    </row>
    <row r="142" spans="1:2">
      <c r="A142" s="10" t="s">
        <v>896</v>
      </c>
      <c r="B142" s="10" t="s">
        <v>1863</v>
      </c>
    </row>
    <row r="143" spans="1:2">
      <c r="A143" s="10" t="s">
        <v>898</v>
      </c>
      <c r="B143" s="10" t="s">
        <v>1865</v>
      </c>
    </row>
    <row r="144" spans="1:2">
      <c r="A144" s="10" t="s">
        <v>899</v>
      </c>
      <c r="B144" s="10" t="s">
        <v>1830</v>
      </c>
    </row>
    <row r="145" spans="1:2">
      <c r="A145" s="10"/>
      <c r="B145" s="10"/>
    </row>
    <row r="146" spans="1:2">
      <c r="A146" s="10" t="s">
        <v>901</v>
      </c>
      <c r="B146" s="10" t="s">
        <v>1845</v>
      </c>
    </row>
    <row r="147" spans="1:2">
      <c r="A147" s="10" t="s">
        <v>903</v>
      </c>
      <c r="B147" s="10" t="s">
        <v>1858</v>
      </c>
    </row>
    <row r="148" spans="1:2">
      <c r="A148" s="10" t="s">
        <v>904</v>
      </c>
      <c r="B148" s="10" t="s">
        <v>1863</v>
      </c>
    </row>
    <row r="149" spans="1:2">
      <c r="A149" s="10" t="s">
        <v>906</v>
      </c>
      <c r="B149" s="10" t="s">
        <v>1843</v>
      </c>
    </row>
    <row r="150" spans="1:2">
      <c r="A150" s="10" t="s">
        <v>908</v>
      </c>
      <c r="B150" s="10" t="s">
        <v>1832</v>
      </c>
    </row>
    <row r="151" spans="1:2">
      <c r="A151" s="10"/>
      <c r="B151" s="10"/>
    </row>
    <row r="152" spans="1:2">
      <c r="A152" s="10" t="s">
        <v>910</v>
      </c>
      <c r="B152" s="10" t="s">
        <v>1821</v>
      </c>
    </row>
    <row r="153" spans="1:2">
      <c r="A153" s="10" t="s">
        <v>912</v>
      </c>
      <c r="B153" s="10" t="s">
        <v>1821</v>
      </c>
    </row>
    <row r="154" spans="1:2">
      <c r="A154" s="10" t="s">
        <v>914</v>
      </c>
      <c r="B154" s="10" t="s">
        <v>1824</v>
      </c>
    </row>
    <row r="155" spans="1:2">
      <c r="A155" s="10" t="s">
        <v>915</v>
      </c>
      <c r="B155" s="10" t="s">
        <v>1832</v>
      </c>
    </row>
    <row r="156" spans="1:2">
      <c r="A156" s="10" t="s">
        <v>917</v>
      </c>
      <c r="B156" s="10" t="s">
        <v>1842</v>
      </c>
    </row>
    <row r="157" spans="1:2">
      <c r="A157" s="10" t="s">
        <v>919</v>
      </c>
      <c r="B157" s="10" t="s">
        <v>1832</v>
      </c>
    </row>
    <row r="158" spans="1:2">
      <c r="A158" s="10" t="s">
        <v>920</v>
      </c>
      <c r="B158" s="10" t="s">
        <v>1832</v>
      </c>
    </row>
    <row r="159" spans="1:2">
      <c r="A159" s="10"/>
      <c r="B159" s="10"/>
    </row>
    <row r="160" spans="1:2">
      <c r="A160" s="10" t="s">
        <v>922</v>
      </c>
      <c r="B160" s="10" t="s">
        <v>1843</v>
      </c>
    </row>
    <row r="161" spans="1:2">
      <c r="A161" s="10" t="s">
        <v>924</v>
      </c>
      <c r="B161" s="10" t="s">
        <v>1843</v>
      </c>
    </row>
    <row r="162" spans="1:2">
      <c r="A162" s="10" t="s">
        <v>926</v>
      </c>
      <c r="B162" s="10" t="s">
        <v>1864</v>
      </c>
    </row>
    <row r="163" spans="1:2">
      <c r="A163" s="10" t="s">
        <v>927</v>
      </c>
      <c r="B163" s="10" t="s">
        <v>1861</v>
      </c>
    </row>
    <row r="164" spans="1:2">
      <c r="A164" s="10"/>
      <c r="B164" s="10"/>
    </row>
    <row r="165" spans="1:2">
      <c r="A165" s="10" t="s">
        <v>929</v>
      </c>
      <c r="B165" s="10" t="s">
        <v>1829</v>
      </c>
    </row>
    <row r="166" spans="1:2">
      <c r="A166" s="10" t="s">
        <v>929</v>
      </c>
      <c r="B166" s="10" t="s">
        <v>1828</v>
      </c>
    </row>
    <row r="167" spans="1:2">
      <c r="A167" s="10" t="s">
        <v>929</v>
      </c>
      <c r="B167" s="10" t="s">
        <v>1843</v>
      </c>
    </row>
    <row r="168" spans="1:2">
      <c r="A168" s="10" t="s">
        <v>929</v>
      </c>
      <c r="B168" s="10" t="s">
        <v>1865</v>
      </c>
    </row>
    <row r="169" spans="1:2">
      <c r="A169" s="10" t="s">
        <v>931</v>
      </c>
      <c r="B169" s="10" t="s">
        <v>1859</v>
      </c>
    </row>
    <row r="170" spans="1:2">
      <c r="A170" s="10" t="s">
        <v>934</v>
      </c>
      <c r="B170" s="10" t="s">
        <v>1843</v>
      </c>
    </row>
    <row r="171" spans="1:2">
      <c r="A171" s="10" t="s">
        <v>934</v>
      </c>
      <c r="B171" s="10" t="s">
        <v>1863</v>
      </c>
    </row>
    <row r="172" spans="1:2">
      <c r="A172" s="10" t="s">
        <v>936</v>
      </c>
      <c r="B172" s="10" t="s">
        <v>1836</v>
      </c>
    </row>
    <row r="173" spans="1:2">
      <c r="A173" s="10" t="s">
        <v>936</v>
      </c>
      <c r="B173" s="10" t="s">
        <v>1843</v>
      </c>
    </row>
    <row r="174" spans="1:2">
      <c r="A174" s="10" t="s">
        <v>936</v>
      </c>
      <c r="B174" s="10" t="s">
        <v>1829</v>
      </c>
    </row>
    <row r="175" spans="1:2">
      <c r="A175" s="10" t="s">
        <v>936</v>
      </c>
      <c r="B175" s="10" t="s">
        <v>1865</v>
      </c>
    </row>
    <row r="176" spans="1:2">
      <c r="A176" s="10" t="s">
        <v>938</v>
      </c>
      <c r="B176" s="10" t="s">
        <v>1826</v>
      </c>
    </row>
    <row r="177" spans="1:2">
      <c r="A177" s="10" t="s">
        <v>938</v>
      </c>
      <c r="B177" s="10" t="s">
        <v>1828</v>
      </c>
    </row>
    <row r="178" spans="1:2">
      <c r="A178" s="10" t="s">
        <v>938</v>
      </c>
      <c r="B178" s="10" t="s">
        <v>1859</v>
      </c>
    </row>
    <row r="179" spans="1:2">
      <c r="A179" s="10" t="s">
        <v>938</v>
      </c>
      <c r="B179" s="10" t="s">
        <v>1864</v>
      </c>
    </row>
    <row r="180" spans="1:2">
      <c r="A180" s="10"/>
      <c r="B180" s="10"/>
    </row>
    <row r="181" spans="1:2">
      <c r="A181" s="10"/>
      <c r="B181" s="10"/>
    </row>
    <row r="182" spans="1:2">
      <c r="A182" s="10" t="s">
        <v>941</v>
      </c>
      <c r="B182" s="10" t="s">
        <v>1865</v>
      </c>
    </row>
    <row r="183" spans="1:2">
      <c r="A183" s="10" t="s">
        <v>942</v>
      </c>
      <c r="B183" s="10" t="s">
        <v>1843</v>
      </c>
    </row>
    <row r="184" spans="1:2">
      <c r="A184" s="10" t="s">
        <v>944</v>
      </c>
      <c r="B184" s="10" t="s">
        <v>1831</v>
      </c>
    </row>
    <row r="185" spans="1:2">
      <c r="A185" s="10" t="s">
        <v>945</v>
      </c>
      <c r="B185" s="10" t="s">
        <v>1859</v>
      </c>
    </row>
    <row r="186" spans="1:2">
      <c r="A186" s="10" t="s">
        <v>947</v>
      </c>
      <c r="B186" s="10" t="s">
        <v>1830</v>
      </c>
    </row>
    <row r="187" spans="1:2">
      <c r="A187" s="10" t="s">
        <v>949</v>
      </c>
      <c r="B187" s="10" t="s">
        <v>1845</v>
      </c>
    </row>
    <row r="188" spans="1:2">
      <c r="A188" s="10" t="s">
        <v>950</v>
      </c>
      <c r="B188" s="10" t="s">
        <v>1863</v>
      </c>
    </row>
    <row r="189" spans="1:2">
      <c r="A189" s="10" t="s">
        <v>951</v>
      </c>
      <c r="B189" s="10" t="s">
        <v>1824</v>
      </c>
    </row>
    <row r="190" spans="1:2">
      <c r="A190" s="10" t="s">
        <v>953</v>
      </c>
      <c r="B190" s="10" t="s">
        <v>1843</v>
      </c>
    </row>
    <row r="191" spans="1:2">
      <c r="A191" s="10"/>
      <c r="B191" s="10"/>
    </row>
    <row r="192" spans="1:2">
      <c r="A192" s="10" t="s">
        <v>954</v>
      </c>
      <c r="B192" s="10" t="s">
        <v>1843</v>
      </c>
    </row>
    <row r="193" spans="1:2">
      <c r="A193" s="10" t="s">
        <v>956</v>
      </c>
      <c r="B193" s="10" t="s">
        <v>1843</v>
      </c>
    </row>
    <row r="194" spans="1:2">
      <c r="A194" s="10" t="s">
        <v>958</v>
      </c>
      <c r="B194" s="10" t="s">
        <v>1830</v>
      </c>
    </row>
    <row r="195" spans="1:2">
      <c r="A195" s="10" t="s">
        <v>960</v>
      </c>
      <c r="B195" s="10" t="s">
        <v>1843</v>
      </c>
    </row>
    <row r="196" spans="1:2">
      <c r="A196" s="10" t="s">
        <v>962</v>
      </c>
      <c r="B196" s="10" t="s">
        <v>1843</v>
      </c>
    </row>
    <row r="197" spans="1:2">
      <c r="A197" s="10" t="s">
        <v>964</v>
      </c>
      <c r="B197" s="10" t="s">
        <v>1863</v>
      </c>
    </row>
    <row r="198" spans="1:2">
      <c r="A198" s="10" t="s">
        <v>966</v>
      </c>
      <c r="B198" s="10" t="s">
        <v>1831</v>
      </c>
    </row>
    <row r="199" spans="1:2">
      <c r="A199" s="10" t="s">
        <v>967</v>
      </c>
      <c r="B199" s="10" t="s">
        <v>1831</v>
      </c>
    </row>
    <row r="200" spans="1:2">
      <c r="A200" s="10" t="s">
        <v>969</v>
      </c>
      <c r="B200" s="10" t="s">
        <v>1846</v>
      </c>
    </row>
    <row r="201" spans="1:2">
      <c r="A201" s="10" t="s">
        <v>971</v>
      </c>
      <c r="B201" s="10" t="s">
        <v>1821</v>
      </c>
    </row>
    <row r="202" spans="1:2">
      <c r="A202" s="10" t="s">
        <v>972</v>
      </c>
      <c r="B202" s="10" t="s">
        <v>1825</v>
      </c>
    </row>
    <row r="203" spans="1:2">
      <c r="A203" s="10" t="s">
        <v>974</v>
      </c>
      <c r="B203" s="10" t="s">
        <v>1855</v>
      </c>
    </row>
    <row r="204" spans="1:2">
      <c r="A204" s="10" t="s">
        <v>976</v>
      </c>
      <c r="B204" s="10" t="s">
        <v>1855</v>
      </c>
    </row>
    <row r="205" spans="1:2">
      <c r="A205" s="10" t="s">
        <v>977</v>
      </c>
      <c r="B205" s="10" t="s">
        <v>1855</v>
      </c>
    </row>
    <row r="206" spans="1:2">
      <c r="A206" s="10" t="s">
        <v>978</v>
      </c>
      <c r="B206" s="10" t="s">
        <v>1855</v>
      </c>
    </row>
    <row r="207" spans="1:2">
      <c r="A207" s="10" t="s">
        <v>980</v>
      </c>
      <c r="B207" s="10" t="s">
        <v>1855</v>
      </c>
    </row>
    <row r="208" spans="1:2">
      <c r="A208" s="10"/>
      <c r="B208" s="10"/>
    </row>
    <row r="209" spans="1:2">
      <c r="A209" s="10"/>
      <c r="B209" s="10"/>
    </row>
    <row r="210" spans="1:2">
      <c r="A210" s="10"/>
      <c r="B210" s="10"/>
    </row>
    <row r="211" spans="1:2">
      <c r="A211" s="10"/>
      <c r="B211" s="10"/>
    </row>
    <row r="212" spans="1:2">
      <c r="A212" s="10"/>
      <c r="B212" s="10"/>
    </row>
    <row r="213" spans="1:2">
      <c r="A213" s="10"/>
      <c r="B213" s="10"/>
    </row>
    <row r="214" spans="1:2">
      <c r="A214" s="10"/>
      <c r="B214" s="10"/>
    </row>
    <row r="215" spans="1:2">
      <c r="A215" s="10"/>
      <c r="B215" s="10"/>
    </row>
    <row r="216" spans="1:2">
      <c r="A216" s="10" t="s">
        <v>982</v>
      </c>
      <c r="B216" s="10" t="s">
        <v>1370</v>
      </c>
    </row>
    <row r="217" spans="1:2">
      <c r="A217" s="10" t="s">
        <v>982</v>
      </c>
      <c r="B217" s="10" t="s">
        <v>1830</v>
      </c>
    </row>
    <row r="218" spans="1:2">
      <c r="A218" s="10" t="s">
        <v>982</v>
      </c>
      <c r="B218" s="10" t="s">
        <v>1843</v>
      </c>
    </row>
    <row r="219" spans="1:2">
      <c r="A219" s="10" t="s">
        <v>985</v>
      </c>
      <c r="B219" s="10" t="s">
        <v>1843</v>
      </c>
    </row>
    <row r="220" spans="1:2">
      <c r="A220" s="10" t="s">
        <v>985</v>
      </c>
      <c r="B220" s="10" t="s">
        <v>1863</v>
      </c>
    </row>
    <row r="221" spans="1:2">
      <c r="A221" s="10" t="s">
        <v>985</v>
      </c>
      <c r="B221" s="10" t="s">
        <v>1831</v>
      </c>
    </row>
    <row r="222" spans="1:2">
      <c r="A222" s="10" t="s">
        <v>985</v>
      </c>
      <c r="B222" s="10" t="s">
        <v>1864</v>
      </c>
    </row>
    <row r="223" spans="1:2">
      <c r="A223" s="10" t="s">
        <v>988</v>
      </c>
      <c r="B223" s="10" t="s">
        <v>1826</v>
      </c>
    </row>
    <row r="224" spans="1:2">
      <c r="A224" s="10" t="s">
        <v>990</v>
      </c>
      <c r="B224" s="10" t="s">
        <v>1826</v>
      </c>
    </row>
    <row r="225" spans="1:2">
      <c r="A225" s="10" t="s">
        <v>992</v>
      </c>
      <c r="B225" s="10" t="s">
        <v>1860</v>
      </c>
    </row>
    <row r="226" spans="1:2">
      <c r="A226" s="10" t="s">
        <v>994</v>
      </c>
      <c r="B226" s="10" t="s">
        <v>1863</v>
      </c>
    </row>
    <row r="227" spans="1:2">
      <c r="A227" s="10" t="s">
        <v>996</v>
      </c>
      <c r="B227" s="10" t="s">
        <v>1864</v>
      </c>
    </row>
    <row r="228" spans="1:2">
      <c r="A228" s="10" t="s">
        <v>998</v>
      </c>
      <c r="B228" s="10" t="s">
        <v>1863</v>
      </c>
    </row>
    <row r="229" spans="1:2">
      <c r="A229" s="10" t="s">
        <v>1000</v>
      </c>
      <c r="B229" s="10" t="s">
        <v>1859</v>
      </c>
    </row>
    <row r="230" spans="1:2">
      <c r="A230" s="10"/>
      <c r="B230" s="10"/>
    </row>
    <row r="231" spans="1:2">
      <c r="A231" s="73" t="s">
        <v>1005</v>
      </c>
      <c r="B231" s="10" t="s">
        <v>1824</v>
      </c>
    </row>
    <row r="232" spans="1:2">
      <c r="A232" s="73" t="s">
        <v>1009</v>
      </c>
      <c r="B232" s="10" t="s">
        <v>1843</v>
      </c>
    </row>
    <row r="233" spans="1:2">
      <c r="A233" s="73" t="s">
        <v>1012</v>
      </c>
      <c r="B233" s="10" t="s">
        <v>1866</v>
      </c>
    </row>
    <row r="234" spans="1:2">
      <c r="A234" s="73" t="s">
        <v>1013</v>
      </c>
      <c r="B234" s="10" t="s">
        <v>1863</v>
      </c>
    </row>
    <row r="235" spans="1:2">
      <c r="A235" s="73" t="s">
        <v>1016</v>
      </c>
      <c r="B235" s="10" t="s">
        <v>1843</v>
      </c>
    </row>
    <row r="236" spans="1:2">
      <c r="A236" s="73" t="s">
        <v>1019</v>
      </c>
      <c r="B236" s="10" t="s">
        <v>1855</v>
      </c>
    </row>
    <row r="237" spans="1:2">
      <c r="A237" s="74"/>
      <c r="B237" s="10"/>
    </row>
    <row r="238" spans="1:2">
      <c r="A238" s="67" t="s">
        <v>1025</v>
      </c>
      <c r="B238" s="10" t="s">
        <v>1842</v>
      </c>
    </row>
    <row r="239" spans="1:2">
      <c r="A239" s="67" t="s">
        <v>1027</v>
      </c>
      <c r="B239" s="10" t="s">
        <v>1842</v>
      </c>
    </row>
    <row r="240" spans="1:2">
      <c r="A240" s="67" t="s">
        <v>1029</v>
      </c>
      <c r="B240" s="10" t="s">
        <v>1842</v>
      </c>
    </row>
    <row r="241" spans="1:2">
      <c r="A241" s="67" t="s">
        <v>1030</v>
      </c>
      <c r="B241" s="10" t="s">
        <v>1842</v>
      </c>
    </row>
    <row r="242" spans="1:2">
      <c r="A242" s="67" t="s">
        <v>1031</v>
      </c>
      <c r="B242" s="10" t="s">
        <v>1842</v>
      </c>
    </row>
    <row r="243" spans="1:2">
      <c r="A243" s="67" t="s">
        <v>1032</v>
      </c>
      <c r="B243" s="10" t="s">
        <v>1842</v>
      </c>
    </row>
    <row r="244" spans="1:2">
      <c r="A244" s="67" t="s">
        <v>1034</v>
      </c>
      <c r="B244" s="10" t="s">
        <v>1842</v>
      </c>
    </row>
    <row r="245" spans="1:2">
      <c r="A245" s="67" t="s">
        <v>1036</v>
      </c>
      <c r="B245" s="10" t="s">
        <v>1842</v>
      </c>
    </row>
    <row r="246" spans="1:2">
      <c r="A246" s="67" t="s">
        <v>1038</v>
      </c>
      <c r="B246" s="10" t="s">
        <v>1842</v>
      </c>
    </row>
    <row r="247" spans="1:2">
      <c r="A247" s="67" t="s">
        <v>1040</v>
      </c>
      <c r="B247" s="10" t="s">
        <v>1842</v>
      </c>
    </row>
    <row r="248" spans="1:2">
      <c r="A248" s="67" t="s">
        <v>1041</v>
      </c>
      <c r="B248" s="10" t="s">
        <v>1842</v>
      </c>
    </row>
    <row r="249" spans="1:2">
      <c r="A249" s="74"/>
      <c r="B249" s="10"/>
    </row>
    <row r="250" spans="1:2">
      <c r="A250" s="74"/>
      <c r="B250" s="10"/>
    </row>
    <row r="251" spans="1:2">
      <c r="A251" s="10"/>
      <c r="B251" s="10"/>
    </row>
    <row r="252" spans="1:2">
      <c r="A252" s="10" t="s">
        <v>1817</v>
      </c>
      <c r="B252" s="10" t="s">
        <v>1867</v>
      </c>
    </row>
    <row r="253" spans="1:2">
      <c r="A253" s="62" t="s">
        <v>1868</v>
      </c>
      <c r="B253" s="10" t="s">
        <v>1867</v>
      </c>
    </row>
    <row r="254" spans="1:2">
      <c r="A254" s="71"/>
      <c r="B254" s="10"/>
    </row>
    <row r="255" spans="1:2">
      <c r="A255" s="71"/>
      <c r="B255" s="10"/>
    </row>
    <row r="256" spans="1:2">
      <c r="A256" s="71"/>
      <c r="B256" s="10"/>
    </row>
    <row r="257" spans="1:2">
      <c r="A257" s="10" t="s">
        <v>1111</v>
      </c>
      <c r="B257" s="10" t="s">
        <v>1824</v>
      </c>
    </row>
    <row r="258" spans="1:2">
      <c r="A258" s="10" t="s">
        <v>1117</v>
      </c>
      <c r="B258" s="10" t="s">
        <v>1828</v>
      </c>
    </row>
    <row r="259" spans="1:2">
      <c r="A259" s="10" t="s">
        <v>1117</v>
      </c>
      <c r="B259" s="10" t="s">
        <v>1821</v>
      </c>
    </row>
    <row r="260" spans="1:2">
      <c r="A260" s="10" t="s">
        <v>1117</v>
      </c>
      <c r="B260" s="10" t="s">
        <v>1829</v>
      </c>
    </row>
    <row r="261" spans="1:2">
      <c r="A261" s="10" t="s">
        <v>1122</v>
      </c>
      <c r="B261" s="10" t="s">
        <v>1845</v>
      </c>
    </row>
    <row r="262" spans="1:2">
      <c r="A262" s="10" t="s">
        <v>1122</v>
      </c>
      <c r="B262" s="10" t="s">
        <v>1824</v>
      </c>
    </row>
    <row r="263" spans="1:2">
      <c r="A263" s="92" t="s">
        <v>1125</v>
      </c>
      <c r="B263" s="10" t="s">
        <v>1828</v>
      </c>
    </row>
    <row r="264" spans="1:2">
      <c r="A264" s="93" t="s">
        <v>1125</v>
      </c>
      <c r="B264" s="10" t="s">
        <v>1855</v>
      </c>
    </row>
    <row r="265" spans="1:2">
      <c r="A265" s="92" t="s">
        <v>1128</v>
      </c>
      <c r="B265" s="10" t="s">
        <v>1845</v>
      </c>
    </row>
    <row r="266" spans="1:2">
      <c r="A266" s="93" t="s">
        <v>1128</v>
      </c>
      <c r="B266" s="10" t="s">
        <v>1845</v>
      </c>
    </row>
    <row r="267" spans="1:2">
      <c r="A267" s="92" t="s">
        <v>1132</v>
      </c>
      <c r="B267" s="10" t="s">
        <v>1842</v>
      </c>
    </row>
    <row r="268" spans="1:2">
      <c r="A268" s="93" t="s">
        <v>1136</v>
      </c>
      <c r="B268" s="10" t="s">
        <v>1842</v>
      </c>
    </row>
    <row r="269" spans="1:2">
      <c r="A269" s="92" t="s">
        <v>1139</v>
      </c>
      <c r="B269" s="10" t="s">
        <v>1842</v>
      </c>
    </row>
    <row r="270" spans="1:2">
      <c r="A270" s="93" t="s">
        <v>1142</v>
      </c>
      <c r="B270" s="10" t="s">
        <v>1842</v>
      </c>
    </row>
    <row r="271" spans="1:2">
      <c r="A271" s="92" t="s">
        <v>1146</v>
      </c>
      <c r="B271" s="10" t="s">
        <v>1842</v>
      </c>
    </row>
    <row r="272" spans="1:2">
      <c r="A272" s="93" t="s">
        <v>1149</v>
      </c>
      <c r="B272" s="10" t="s">
        <v>1842</v>
      </c>
    </row>
    <row r="273" spans="1:2">
      <c r="A273" s="92" t="s">
        <v>1151</v>
      </c>
      <c r="B273" s="10" t="s">
        <v>1842</v>
      </c>
    </row>
    <row r="274" spans="1:2">
      <c r="A274" s="93" t="s">
        <v>1154</v>
      </c>
      <c r="B274" s="10" t="s">
        <v>1842</v>
      </c>
    </row>
    <row r="275" spans="1:2">
      <c r="A275" s="92" t="s">
        <v>1157</v>
      </c>
      <c r="B275" s="10" t="s">
        <v>1851</v>
      </c>
    </row>
    <row r="276" spans="1:2">
      <c r="A276" s="93" t="s">
        <v>1157</v>
      </c>
      <c r="B276" s="10" t="s">
        <v>1869</v>
      </c>
    </row>
    <row r="277" spans="1:2">
      <c r="A277" s="92" t="s">
        <v>1161</v>
      </c>
      <c r="B277" s="10" t="s">
        <v>1869</v>
      </c>
    </row>
    <row r="278" spans="1:2">
      <c r="A278" s="93" t="s">
        <v>1161</v>
      </c>
      <c r="B278" s="10" t="s">
        <v>1851</v>
      </c>
    </row>
    <row r="279" spans="1:2">
      <c r="A279" s="92" t="s">
        <v>1164</v>
      </c>
      <c r="B279" s="10" t="s">
        <v>1857</v>
      </c>
    </row>
    <row r="280" spans="1:2">
      <c r="A280" s="93" t="s">
        <v>1164</v>
      </c>
      <c r="B280" s="10" t="s">
        <v>1821</v>
      </c>
    </row>
    <row r="281" spans="1:2">
      <c r="A281" s="92" t="s">
        <v>1167</v>
      </c>
      <c r="B281" s="10" t="s">
        <v>1845</v>
      </c>
    </row>
    <row r="282" spans="1:2">
      <c r="A282" s="93" t="s">
        <v>1167</v>
      </c>
      <c r="B282" s="10" t="s">
        <v>1845</v>
      </c>
    </row>
    <row r="283" spans="1:2">
      <c r="A283" s="92" t="s">
        <v>1170</v>
      </c>
      <c r="B283" s="10" t="s">
        <v>1855</v>
      </c>
    </row>
    <row r="284" spans="1:2">
      <c r="A284" s="93" t="s">
        <v>1173</v>
      </c>
      <c r="B284" s="10" t="s">
        <v>1855</v>
      </c>
    </row>
    <row r="285" spans="1:2">
      <c r="A285" s="92" t="s">
        <v>1173</v>
      </c>
      <c r="B285" s="10" t="s">
        <v>1829</v>
      </c>
    </row>
    <row r="286" spans="1:2">
      <c r="A286" s="93" t="s">
        <v>1176</v>
      </c>
      <c r="B286" s="10" t="s">
        <v>1855</v>
      </c>
    </row>
    <row r="287" spans="1:2">
      <c r="A287" s="92" t="s">
        <v>1176</v>
      </c>
      <c r="B287" s="10" t="s">
        <v>1855</v>
      </c>
    </row>
    <row r="288" spans="1:2">
      <c r="A288" s="93" t="s">
        <v>1180</v>
      </c>
      <c r="B288" s="10" t="s">
        <v>1824</v>
      </c>
    </row>
    <row r="289" spans="1:2">
      <c r="A289" s="92" t="s">
        <v>1180</v>
      </c>
      <c r="B289" s="10" t="s">
        <v>1855</v>
      </c>
    </row>
    <row r="290" spans="1:2">
      <c r="A290" s="93" t="s">
        <v>1185</v>
      </c>
      <c r="B290" s="10" t="s">
        <v>1829</v>
      </c>
    </row>
    <row r="291" spans="1:2">
      <c r="A291" s="92" t="s">
        <v>1185</v>
      </c>
      <c r="B291" s="10" t="s">
        <v>1855</v>
      </c>
    </row>
    <row r="292" spans="1:2">
      <c r="A292" s="10"/>
      <c r="B292" s="10"/>
    </row>
    <row r="293" spans="1:2">
      <c r="A293" s="10"/>
      <c r="B293" s="10"/>
    </row>
    <row r="294" spans="1:2">
      <c r="A294" s="10"/>
      <c r="B294" s="10"/>
    </row>
    <row r="295" spans="1:2">
      <c r="A295" s="10"/>
      <c r="B295" s="10"/>
    </row>
    <row r="296" spans="1:2">
      <c r="A296" s="10"/>
      <c r="B296" s="10"/>
    </row>
    <row r="297" spans="1:2">
      <c r="A297" s="10"/>
      <c r="B297" s="10"/>
    </row>
    <row r="298" spans="1:2">
      <c r="A298" s="10"/>
      <c r="B298" s="10"/>
    </row>
    <row r="299" spans="1:2">
      <c r="A299" s="10"/>
      <c r="B299" s="10"/>
    </row>
    <row r="300" spans="1:2">
      <c r="A300" s="10"/>
      <c r="B300" s="10"/>
    </row>
    <row r="301" spans="1:2">
      <c r="A301" s="10"/>
      <c r="B301" s="10"/>
    </row>
    <row r="302" spans="1:2">
      <c r="A302" s="10"/>
      <c r="B302" s="10"/>
    </row>
    <row r="303" spans="1:2">
      <c r="A303" s="10"/>
      <c r="B303" s="10"/>
    </row>
    <row r="304" spans="1:2">
      <c r="A304" s="10"/>
      <c r="B304" s="10"/>
    </row>
    <row r="305" spans="1:2">
      <c r="A305" s="10"/>
      <c r="B305" s="10"/>
    </row>
    <row r="306" spans="1:2">
      <c r="A306" s="10"/>
      <c r="B306" s="10"/>
    </row>
    <row r="307" spans="1:2">
      <c r="A307" s="10" t="s">
        <v>1193</v>
      </c>
      <c r="B307" s="10" t="s">
        <v>1826</v>
      </c>
    </row>
    <row r="308" spans="1:2">
      <c r="A308" s="10" t="s">
        <v>1188</v>
      </c>
      <c r="B308" s="10" t="s">
        <v>1867</v>
      </c>
    </row>
    <row r="309" spans="1:2">
      <c r="A309" s="10" t="s">
        <v>1196</v>
      </c>
      <c r="B309" s="10" t="s">
        <v>1836</v>
      </c>
    </row>
    <row r="310" spans="1:2">
      <c r="A310" s="10" t="s">
        <v>1201</v>
      </c>
      <c r="B310" s="10" t="s">
        <v>1867</v>
      </c>
    </row>
    <row r="311" spans="1:2">
      <c r="A311" s="10" t="s">
        <v>1198</v>
      </c>
      <c r="B311" s="10" t="s">
        <v>1824</v>
      </c>
    </row>
    <row r="312" spans="1:2">
      <c r="A312" s="10" t="s">
        <v>1204</v>
      </c>
      <c r="B312" s="10" t="s">
        <v>1866</v>
      </c>
    </row>
    <row r="313" spans="1:2">
      <c r="A313" s="10" t="s">
        <v>1208</v>
      </c>
      <c r="B313" s="10" t="s">
        <v>1830</v>
      </c>
    </row>
    <row r="314" spans="1:2">
      <c r="A314" s="10" t="s">
        <v>1210</v>
      </c>
      <c r="B314" s="10" t="s">
        <v>1830</v>
      </c>
    </row>
    <row r="315" spans="1:2">
      <c r="A315" s="67" t="s">
        <v>1818</v>
      </c>
      <c r="B315" s="10" t="s">
        <v>1830</v>
      </c>
    </row>
    <row r="316" spans="1:2">
      <c r="A316" s="10" t="s">
        <v>1214</v>
      </c>
      <c r="B316" s="10" t="s">
        <v>1846</v>
      </c>
    </row>
    <row r="317" spans="1:2">
      <c r="A317" s="10"/>
      <c r="B317" s="10"/>
    </row>
    <row r="318" spans="1:2">
      <c r="A318" s="67" t="s">
        <v>431</v>
      </c>
      <c r="B318" s="10" t="s">
        <v>1821</v>
      </c>
    </row>
    <row r="319" spans="1:2">
      <c r="A319" s="67" t="s">
        <v>432</v>
      </c>
      <c r="B319" s="10" t="s">
        <v>1821</v>
      </c>
    </row>
    <row r="320" spans="1:2">
      <c r="A320" s="10" t="s">
        <v>439</v>
      </c>
      <c r="B320" s="10" t="s">
        <v>1824</v>
      </c>
    </row>
    <row r="321" spans="1:2">
      <c r="A321" s="10" t="s">
        <v>439</v>
      </c>
      <c r="B321" s="10" t="s">
        <v>1845</v>
      </c>
    </row>
    <row r="322" spans="1:2">
      <c r="A322" s="10" t="s">
        <v>440</v>
      </c>
      <c r="B322" s="10" t="s">
        <v>1824</v>
      </c>
    </row>
    <row r="323" spans="1:2">
      <c r="A323" s="10" t="s">
        <v>440</v>
      </c>
      <c r="B323" s="10" t="s">
        <v>1845</v>
      </c>
    </row>
    <row r="324" spans="1:2">
      <c r="A324" s="10" t="s">
        <v>444</v>
      </c>
      <c r="B324" s="10" t="s">
        <v>1824</v>
      </c>
    </row>
    <row r="325" spans="1:2">
      <c r="A325" s="10" t="s">
        <v>444</v>
      </c>
      <c r="B325" s="10" t="s">
        <v>1845</v>
      </c>
    </row>
    <row r="326" spans="1:2">
      <c r="A326" s="10" t="s">
        <v>447</v>
      </c>
      <c r="B326" s="10" t="s">
        <v>1821</v>
      </c>
    </row>
    <row r="327" spans="1:2">
      <c r="A327" s="10" t="s">
        <v>452</v>
      </c>
      <c r="B327" s="10" t="s">
        <v>1821</v>
      </c>
    </row>
    <row r="328" spans="1:2">
      <c r="A328" s="10" t="s">
        <v>455</v>
      </c>
      <c r="B328" s="10" t="s">
        <v>1845</v>
      </c>
    </row>
    <row r="329" spans="1:2">
      <c r="A329" s="10" t="s">
        <v>456</v>
      </c>
      <c r="B329" s="10" t="s">
        <v>1821</v>
      </c>
    </row>
    <row r="330" spans="1:2">
      <c r="A330" s="10" t="s">
        <v>456</v>
      </c>
      <c r="B330" s="10" t="s">
        <v>1843</v>
      </c>
    </row>
    <row r="331" spans="1:2">
      <c r="A331" s="10" t="s">
        <v>456</v>
      </c>
      <c r="B331" s="10" t="s">
        <v>1825</v>
      </c>
    </row>
    <row r="332" spans="1:2">
      <c r="A332" s="67" t="s">
        <v>461</v>
      </c>
      <c r="B332" s="10" t="s">
        <v>1845</v>
      </c>
    </row>
    <row r="333" spans="1:2">
      <c r="A333" s="67" t="s">
        <v>462</v>
      </c>
      <c r="B333" s="10" t="s">
        <v>1845</v>
      </c>
    </row>
    <row r="334" spans="1:2">
      <c r="A334" s="67" t="s">
        <v>465</v>
      </c>
      <c r="B334" s="10" t="s">
        <v>1845</v>
      </c>
    </row>
    <row r="335" spans="1:2">
      <c r="A335" s="67" t="s">
        <v>468</v>
      </c>
      <c r="B335" s="10" t="s">
        <v>1845</v>
      </c>
    </row>
    <row r="336" spans="1:2">
      <c r="A336" s="10" t="s">
        <v>474</v>
      </c>
      <c r="B336" s="10" t="s">
        <v>1827</v>
      </c>
    </row>
    <row r="337" spans="1:2">
      <c r="A337" s="10" t="s">
        <v>471</v>
      </c>
      <c r="B337" s="10" t="s">
        <v>1825</v>
      </c>
    </row>
    <row r="338" spans="1:2">
      <c r="A338" s="10" t="s">
        <v>477</v>
      </c>
      <c r="B338" s="10" t="s">
        <v>1824</v>
      </c>
    </row>
    <row r="339" spans="1:2">
      <c r="A339" s="10" t="s">
        <v>480</v>
      </c>
      <c r="B339" s="10" t="s">
        <v>1824</v>
      </c>
    </row>
    <row r="340" spans="1:2">
      <c r="A340" s="10" t="s">
        <v>485</v>
      </c>
      <c r="B340" s="10" t="s">
        <v>1842</v>
      </c>
    </row>
    <row r="341" spans="1:2">
      <c r="A341" s="10" t="s">
        <v>488</v>
      </c>
      <c r="B341" s="10" t="s">
        <v>1842</v>
      </c>
    </row>
    <row r="342" spans="1:2">
      <c r="A342" s="67" t="s">
        <v>491</v>
      </c>
      <c r="B342" s="10" t="s">
        <v>1842</v>
      </c>
    </row>
    <row r="343" spans="1:2">
      <c r="A343" s="10" t="s">
        <v>492</v>
      </c>
      <c r="B343" s="10" t="s">
        <v>1842</v>
      </c>
    </row>
    <row r="344" spans="1:2">
      <c r="A344" s="10" t="s">
        <v>497</v>
      </c>
      <c r="B344" s="10" t="s">
        <v>1833</v>
      </c>
    </row>
    <row r="345" spans="1:2">
      <c r="A345" s="10" t="s">
        <v>498</v>
      </c>
      <c r="B345" s="10" t="s">
        <v>1824</v>
      </c>
    </row>
    <row r="346" spans="1:2">
      <c r="A346" s="10" t="s">
        <v>501</v>
      </c>
      <c r="B346" s="10" t="s">
        <v>1824</v>
      </c>
    </row>
    <row r="347" spans="1:2">
      <c r="A347" s="10" t="s">
        <v>507</v>
      </c>
      <c r="B347" s="10" t="s">
        <v>1824</v>
      </c>
    </row>
    <row r="348" spans="1:2">
      <c r="A348" s="10" t="s">
        <v>508</v>
      </c>
      <c r="B348" s="10" t="s">
        <v>1845</v>
      </c>
    </row>
    <row r="349" spans="1:2">
      <c r="A349" s="10" t="s">
        <v>513</v>
      </c>
      <c r="B349" s="10" t="s">
        <v>1824</v>
      </c>
    </row>
    <row r="350" spans="1:2">
      <c r="A350" s="10" t="s">
        <v>504</v>
      </c>
      <c r="B350" s="10" t="s">
        <v>1824</v>
      </c>
    </row>
    <row r="351" spans="1:2">
      <c r="A351" s="10" t="s">
        <v>518</v>
      </c>
      <c r="B351" s="10" t="s">
        <v>1821</v>
      </c>
    </row>
    <row r="352" spans="1:2">
      <c r="A352" s="10" t="s">
        <v>518</v>
      </c>
      <c r="B352" s="10" t="s">
        <v>1843</v>
      </c>
    </row>
    <row r="353" spans="1:2">
      <c r="A353" s="10" t="s">
        <v>518</v>
      </c>
      <c r="B353" s="10" t="s">
        <v>1824</v>
      </c>
    </row>
    <row r="354" spans="1:2">
      <c r="A354" s="10" t="s">
        <v>522</v>
      </c>
      <c r="B354" s="10" t="s">
        <v>1829</v>
      </c>
    </row>
    <row r="355" spans="1:2">
      <c r="A355" s="10"/>
      <c r="B355" s="10"/>
    </row>
    <row r="356" spans="1:2">
      <c r="A356" s="10" t="s">
        <v>763</v>
      </c>
      <c r="B356" s="10" t="s">
        <v>1833</v>
      </c>
    </row>
    <row r="357" spans="1:2">
      <c r="A357" s="10" t="s">
        <v>766</v>
      </c>
      <c r="B357" s="10" t="s">
        <v>1833</v>
      </c>
    </row>
    <row r="358" spans="1:2">
      <c r="A358" s="10" t="s">
        <v>743</v>
      </c>
      <c r="B358" s="10" t="s">
        <v>1823</v>
      </c>
    </row>
    <row r="359" spans="1:2">
      <c r="A359" s="10"/>
      <c r="B359" s="10"/>
    </row>
    <row r="360" spans="1:2">
      <c r="A360" s="10"/>
      <c r="B360" s="10"/>
    </row>
    <row r="361" spans="1:2">
      <c r="A361" s="10"/>
      <c r="B361" s="10"/>
    </row>
    <row r="362" spans="1:2">
      <c r="A362" s="10"/>
      <c r="B362" s="10"/>
    </row>
    <row r="363" spans="1:2">
      <c r="A363" s="10"/>
      <c r="B363" s="10"/>
    </row>
    <row r="364" spans="1:2">
      <c r="A364" s="10"/>
      <c r="B364" s="10"/>
    </row>
    <row r="365" spans="1:2">
      <c r="A365" s="10"/>
      <c r="B365" s="10"/>
    </row>
    <row r="366" spans="1:2">
      <c r="A366" s="10"/>
      <c r="B366" s="10"/>
    </row>
    <row r="367" spans="1:2">
      <c r="A367" s="10"/>
      <c r="B367" s="10"/>
    </row>
    <row r="368" spans="1:2">
      <c r="A368" s="10"/>
      <c r="B368" s="10"/>
    </row>
    <row r="369" spans="1:2">
      <c r="A369" s="10"/>
      <c r="B369" s="10"/>
    </row>
    <row r="370" spans="1:2">
      <c r="A370" s="10"/>
      <c r="B370" s="10"/>
    </row>
    <row r="371" spans="1:2">
      <c r="A371" s="10"/>
      <c r="B371" s="10"/>
    </row>
    <row r="372" spans="1:2">
      <c r="A372" s="10"/>
      <c r="B372" s="10"/>
    </row>
    <row r="373" spans="1:2">
      <c r="A373" s="10"/>
      <c r="B373" s="10"/>
    </row>
    <row r="374" spans="1:2">
      <c r="A374" s="10"/>
      <c r="B374" s="10"/>
    </row>
    <row r="375" spans="1:2">
      <c r="A375" s="10"/>
      <c r="B375" s="10"/>
    </row>
    <row r="376" spans="1:2">
      <c r="A376" s="10"/>
      <c r="B376" s="10"/>
    </row>
    <row r="377" spans="1:2">
      <c r="A377" s="10"/>
      <c r="B377" s="10"/>
    </row>
    <row r="378" spans="1:2">
      <c r="A378" s="10"/>
      <c r="B378" s="10"/>
    </row>
    <row r="379" spans="1:2">
      <c r="A379" s="10"/>
      <c r="B379" s="10"/>
    </row>
    <row r="380" spans="1:2">
      <c r="A380" s="10"/>
      <c r="B380" s="10"/>
    </row>
    <row r="381" spans="1:2">
      <c r="A381" s="10"/>
      <c r="B381" s="10"/>
    </row>
    <row r="382" spans="1:2">
      <c r="A382" s="10"/>
      <c r="B382" s="10"/>
    </row>
    <row r="383" spans="1:2">
      <c r="A383" s="10"/>
      <c r="B383" s="10"/>
    </row>
    <row r="384" spans="1:2">
      <c r="A384" s="10"/>
      <c r="B384" s="10"/>
    </row>
    <row r="385" spans="1:2">
      <c r="A385" s="10"/>
      <c r="B385" s="10"/>
    </row>
    <row r="386" spans="1:2">
      <c r="A386" s="10"/>
      <c r="B386" s="10"/>
    </row>
    <row r="387" spans="1:2">
      <c r="A387" s="10"/>
      <c r="B387" s="10"/>
    </row>
    <row r="388" spans="1:2">
      <c r="A388" s="10"/>
      <c r="B388" s="10"/>
    </row>
    <row r="389" spans="1:2">
      <c r="A389" s="10"/>
      <c r="B389" s="10"/>
    </row>
    <row r="390" spans="1:2">
      <c r="A390" s="10"/>
      <c r="B390" s="10"/>
    </row>
    <row r="391" spans="1:2">
      <c r="A391" s="10"/>
      <c r="B391" s="10"/>
    </row>
    <row r="392" spans="1:2">
      <c r="A392" s="10"/>
      <c r="B392" s="10"/>
    </row>
    <row r="393" spans="1:2">
      <c r="A393" s="10"/>
      <c r="B393" s="10"/>
    </row>
    <row r="394" spans="1:2">
      <c r="A394" s="10"/>
      <c r="B394" s="10"/>
    </row>
    <row r="395" spans="1:2">
      <c r="A395" s="10"/>
      <c r="B395" s="10"/>
    </row>
    <row r="396" spans="1:2">
      <c r="A396" s="10"/>
      <c r="B396" s="10"/>
    </row>
    <row r="397" spans="1:2">
      <c r="A397" s="10"/>
      <c r="B397" s="10"/>
    </row>
    <row r="398" spans="1:2">
      <c r="A398" s="10"/>
      <c r="B398" s="10"/>
    </row>
    <row r="399" spans="1:2">
      <c r="A399" s="10"/>
      <c r="B399" s="10"/>
    </row>
    <row r="400" spans="1:2">
      <c r="A400" s="10"/>
      <c r="B400" s="10"/>
    </row>
    <row r="401" spans="1:2">
      <c r="A401" s="10"/>
      <c r="B401" s="10"/>
    </row>
    <row r="402" spans="1:2">
      <c r="A402" s="10"/>
      <c r="B402" s="10"/>
    </row>
    <row r="403" spans="1:2">
      <c r="A403" s="10"/>
      <c r="B403" s="10"/>
    </row>
    <row r="404" spans="1:2">
      <c r="A404" s="10"/>
      <c r="B404" s="10"/>
    </row>
    <row r="405" spans="1:2">
      <c r="A405" s="10"/>
      <c r="B405" s="10"/>
    </row>
    <row r="406" spans="1:2">
      <c r="A406" s="10"/>
      <c r="B406" s="10"/>
    </row>
    <row r="407" spans="1:2">
      <c r="A407" s="10"/>
      <c r="B407" s="10"/>
    </row>
    <row r="408" spans="1:2">
      <c r="A408" s="10"/>
      <c r="B408" s="10"/>
    </row>
    <row r="409" spans="1:2">
      <c r="A409" s="10"/>
      <c r="B409" s="10"/>
    </row>
    <row r="410" spans="1:2">
      <c r="A410" s="10"/>
      <c r="B410" s="10"/>
    </row>
    <row r="411" spans="1:2">
      <c r="A411" s="10"/>
      <c r="B411" s="10"/>
    </row>
    <row r="412" spans="1:2">
      <c r="A412" s="10"/>
      <c r="B412" s="10"/>
    </row>
    <row r="413" spans="1:2">
      <c r="A413" s="10"/>
      <c r="B413" s="10"/>
    </row>
    <row r="414" spans="1:2">
      <c r="A414" s="10"/>
      <c r="B414" s="10"/>
    </row>
    <row r="415" spans="1:2">
      <c r="A415" s="10"/>
      <c r="B415" s="10"/>
    </row>
    <row r="416" spans="1:2">
      <c r="A416" s="10"/>
      <c r="B416" s="10"/>
    </row>
    <row r="417" spans="1:2">
      <c r="A417" s="10"/>
      <c r="B417" s="10"/>
    </row>
    <row r="418" spans="1:2">
      <c r="A418" s="10"/>
      <c r="B418" s="10"/>
    </row>
    <row r="419" spans="1:2">
      <c r="A419" s="10"/>
      <c r="B419" s="10"/>
    </row>
    <row r="420" spans="1:2">
      <c r="A420" s="10"/>
      <c r="B420" s="10"/>
    </row>
    <row r="421" spans="1:2">
      <c r="A421" s="10"/>
      <c r="B421" s="10"/>
    </row>
    <row r="422" spans="1:2">
      <c r="A422" s="10"/>
      <c r="B422" s="10"/>
    </row>
    <row r="423" spans="1:2">
      <c r="A423" s="10"/>
      <c r="B423" s="10"/>
    </row>
    <row r="424" spans="1:2">
      <c r="A424" s="10"/>
      <c r="B424" s="10"/>
    </row>
    <row r="425" spans="1:2">
      <c r="A425" s="10"/>
      <c r="B425" s="10"/>
    </row>
    <row r="426" spans="1:2">
      <c r="A426" s="10"/>
      <c r="B426" s="10"/>
    </row>
    <row r="427" spans="1:2">
      <c r="A427" s="10"/>
      <c r="B427" s="10"/>
    </row>
    <row r="428" spans="1:2">
      <c r="A428" s="10"/>
      <c r="B428" s="10"/>
    </row>
    <row r="429" spans="1:2">
      <c r="A429" s="10"/>
      <c r="B429" s="10"/>
    </row>
    <row r="430" spans="1:2">
      <c r="A430" s="10"/>
      <c r="B430" s="10"/>
    </row>
    <row r="431" spans="1:2">
      <c r="A431" s="10"/>
      <c r="B431" s="10"/>
    </row>
    <row r="432" spans="1:2">
      <c r="A432" s="10"/>
      <c r="B432" s="10"/>
    </row>
    <row r="433" spans="1:2">
      <c r="A433" s="10"/>
      <c r="B433" s="10"/>
    </row>
    <row r="434" spans="1:2">
      <c r="A434" s="10"/>
      <c r="B434" s="10"/>
    </row>
    <row r="435" spans="1:2">
      <c r="A435" s="10"/>
      <c r="B435" s="10"/>
    </row>
    <row r="436" spans="1:2">
      <c r="A436" s="10"/>
      <c r="B436" s="10"/>
    </row>
    <row r="437" spans="1:2">
      <c r="A437" s="10"/>
      <c r="B437" s="10"/>
    </row>
    <row r="438" spans="1:2">
      <c r="A438" s="10"/>
      <c r="B438" s="10"/>
    </row>
    <row r="439" spans="1:2">
      <c r="A439" s="10"/>
      <c r="B439" s="10"/>
    </row>
    <row r="440" spans="1:2">
      <c r="A440" s="10"/>
      <c r="B440" s="10"/>
    </row>
    <row r="441" spans="1:2">
      <c r="A441" s="10"/>
      <c r="B441" s="10"/>
    </row>
    <row r="442" spans="1:2">
      <c r="A442" s="10"/>
      <c r="B442" s="10"/>
    </row>
    <row r="443" spans="1:2">
      <c r="A443" s="10"/>
      <c r="B443" s="10"/>
    </row>
    <row r="444" spans="1:2">
      <c r="A444" s="10"/>
      <c r="B444" s="10"/>
    </row>
    <row r="445" spans="1:2">
      <c r="A445" s="10"/>
      <c r="B445" s="10"/>
    </row>
    <row r="446" spans="1:2">
      <c r="A446" s="10"/>
      <c r="B446" s="10"/>
    </row>
    <row r="447" spans="1:2">
      <c r="A447" s="10"/>
      <c r="B447" s="10"/>
    </row>
    <row r="448" spans="1:2">
      <c r="A448" s="10"/>
      <c r="B448" s="10"/>
    </row>
    <row r="449" spans="1:2">
      <c r="A449" s="10"/>
      <c r="B449" s="10"/>
    </row>
    <row r="450" spans="1:2">
      <c r="A450" s="10"/>
      <c r="B450" s="10"/>
    </row>
    <row r="451" spans="1:2">
      <c r="A451" s="10"/>
      <c r="B451" s="10"/>
    </row>
    <row r="452" spans="1:2">
      <c r="A452" s="10"/>
      <c r="B452" s="10"/>
    </row>
    <row r="453" spans="1:2">
      <c r="A453" s="10"/>
      <c r="B453" s="10"/>
    </row>
    <row r="454" spans="1:2">
      <c r="A454" s="10"/>
      <c r="B454" s="10"/>
    </row>
    <row r="455" spans="1:2">
      <c r="A455" s="10"/>
      <c r="B455" s="10"/>
    </row>
    <row r="456" spans="1:2">
      <c r="A456" s="10"/>
      <c r="B456" s="10"/>
    </row>
    <row r="457" spans="1:2">
      <c r="A457" s="10"/>
      <c r="B457" s="10"/>
    </row>
    <row r="458" spans="1:2">
      <c r="A458" s="10"/>
      <c r="B458" s="10"/>
    </row>
    <row r="459" spans="1:2">
      <c r="A459" s="10"/>
      <c r="B459" s="10"/>
    </row>
    <row r="460" spans="1:2">
      <c r="A460" s="10"/>
      <c r="B460" s="10"/>
    </row>
    <row r="461" spans="1:2">
      <c r="A461" s="10"/>
      <c r="B461" s="10"/>
    </row>
    <row r="462" spans="1:2">
      <c r="A462" s="10"/>
      <c r="B462" s="10"/>
    </row>
    <row r="463" spans="1:2">
      <c r="A463" s="10"/>
      <c r="B463" s="10"/>
    </row>
    <row r="464" spans="1:2">
      <c r="A464" s="10"/>
      <c r="B464" s="10"/>
    </row>
    <row r="465" spans="1:2">
      <c r="A465" s="10"/>
      <c r="B465" s="10"/>
    </row>
    <row r="466" spans="1:2">
      <c r="A466" s="10"/>
      <c r="B466" s="10"/>
    </row>
    <row r="467" spans="1:2">
      <c r="A467" s="10"/>
      <c r="B467" s="10"/>
    </row>
    <row r="468" spans="1:2">
      <c r="A468" s="10"/>
      <c r="B468" s="10"/>
    </row>
    <row r="469" spans="1:2">
      <c r="A469" s="10"/>
      <c r="B469" s="10"/>
    </row>
    <row r="470" spans="1:2">
      <c r="A470" s="10"/>
      <c r="B470" s="10"/>
    </row>
    <row r="471" spans="1:2">
      <c r="A471" s="10"/>
      <c r="B471" s="10"/>
    </row>
    <row r="472" spans="1:2">
      <c r="A472" s="10"/>
      <c r="B472" s="10"/>
    </row>
    <row r="473" spans="1:2">
      <c r="A473" s="10"/>
      <c r="B473" s="10"/>
    </row>
    <row r="474" spans="1:2">
      <c r="A474" s="10"/>
      <c r="B474" s="10"/>
    </row>
    <row r="475" spans="1:2">
      <c r="A475" s="10"/>
      <c r="B475" s="10"/>
    </row>
    <row r="476" spans="1:2">
      <c r="A476" s="10"/>
      <c r="B476" s="10"/>
    </row>
    <row r="477" spans="1:2">
      <c r="A477" s="10"/>
      <c r="B477" s="10"/>
    </row>
    <row r="478" spans="1:2">
      <c r="A478" s="10"/>
      <c r="B478" s="10"/>
    </row>
    <row r="479" spans="1:2">
      <c r="A479" s="10"/>
      <c r="B479" s="10"/>
    </row>
    <row r="480" spans="1:2">
      <c r="A480" s="10"/>
      <c r="B480" s="10"/>
    </row>
    <row r="481" spans="1:2">
      <c r="A481" s="10"/>
      <c r="B481" s="10"/>
    </row>
    <row r="482" spans="1:2">
      <c r="A482" s="10"/>
      <c r="B482" s="10"/>
    </row>
    <row r="483" spans="1:2">
      <c r="A483" s="10"/>
      <c r="B483" s="10"/>
    </row>
    <row r="484" spans="1:2">
      <c r="A484" s="10"/>
      <c r="B484" s="10"/>
    </row>
    <row r="485" spans="1:2">
      <c r="A485" s="10"/>
      <c r="B485" s="10"/>
    </row>
    <row r="486" spans="1:2">
      <c r="A486" s="10"/>
      <c r="B486" s="10"/>
    </row>
    <row r="487" spans="1:2">
      <c r="A487" s="10"/>
      <c r="B487" s="10"/>
    </row>
    <row r="488" spans="1:2">
      <c r="A488" s="10"/>
      <c r="B488" s="10"/>
    </row>
    <row r="489" spans="1:2">
      <c r="A489" s="10"/>
      <c r="B489" s="10"/>
    </row>
    <row r="490" spans="1:2">
      <c r="A490" s="10"/>
      <c r="B490" s="10"/>
    </row>
    <row r="491" spans="1:2">
      <c r="A491" s="10"/>
      <c r="B491" s="10"/>
    </row>
    <row r="492" spans="1:2">
      <c r="A492" s="10"/>
      <c r="B492" s="10"/>
    </row>
    <row r="493" spans="1:2">
      <c r="A493" s="10"/>
      <c r="B493" s="10"/>
    </row>
    <row r="494" spans="1:2">
      <c r="A494" s="10"/>
      <c r="B494" s="10"/>
    </row>
    <row r="495" spans="1:2">
      <c r="A495" s="10"/>
      <c r="B495" s="10"/>
    </row>
    <row r="496" spans="1:2">
      <c r="A496" s="10"/>
      <c r="B496" s="10"/>
    </row>
    <row r="497" spans="1:2">
      <c r="A497" s="10"/>
      <c r="B497" s="10"/>
    </row>
    <row r="498" spans="1:2">
      <c r="A498" s="10"/>
      <c r="B498" s="10"/>
    </row>
    <row r="499" spans="1:2">
      <c r="A499" s="10"/>
      <c r="B499" s="10"/>
    </row>
    <row r="500" spans="1:2">
      <c r="A500" s="10"/>
      <c r="B500" s="10"/>
    </row>
    <row r="501" spans="1:2">
      <c r="A501" s="10"/>
      <c r="B501" s="10"/>
    </row>
    <row r="502" spans="1:2">
      <c r="A502" s="10"/>
      <c r="B502" s="10"/>
    </row>
    <row r="503" spans="1:2">
      <c r="A503" s="10"/>
      <c r="B503" s="10"/>
    </row>
    <row r="504" spans="1:2">
      <c r="A504" s="10"/>
      <c r="B504" s="10"/>
    </row>
    <row r="505" spans="1:2">
      <c r="A505" s="10"/>
      <c r="B505" s="10"/>
    </row>
    <row r="506" spans="1:2">
      <c r="A506" s="10"/>
      <c r="B506" s="10"/>
    </row>
    <row r="507" spans="1:2">
      <c r="A507" s="10"/>
      <c r="B507" s="10"/>
    </row>
    <row r="508" spans="1:2">
      <c r="A508" s="10"/>
      <c r="B508" s="10"/>
    </row>
    <row r="509" spans="1:2">
      <c r="A509" s="10"/>
      <c r="B509" s="10"/>
    </row>
    <row r="510" spans="1:2">
      <c r="A510" s="10"/>
      <c r="B510" s="10"/>
    </row>
    <row r="511" spans="1:2">
      <c r="A511" s="10"/>
      <c r="B511" s="10"/>
    </row>
    <row r="512" spans="1:2">
      <c r="A512" s="10"/>
      <c r="B512" s="10"/>
    </row>
    <row r="513" spans="1:2">
      <c r="A513" s="10"/>
      <c r="B513" s="10"/>
    </row>
    <row r="514" spans="1:2">
      <c r="A514" s="10"/>
      <c r="B514" s="10"/>
    </row>
    <row r="515" spans="1:2">
      <c r="A515" s="10"/>
      <c r="B515" s="10"/>
    </row>
    <row r="516" spans="1:2">
      <c r="A516" s="10"/>
      <c r="B516" s="10"/>
    </row>
    <row r="517" spans="1:2">
      <c r="A517" s="10"/>
      <c r="B517" s="10"/>
    </row>
    <row r="518" spans="1:2">
      <c r="A518" s="10"/>
      <c r="B518" s="10"/>
    </row>
    <row r="519" spans="1:2">
      <c r="A519" s="10"/>
      <c r="B519" s="10"/>
    </row>
    <row r="520" spans="1:2">
      <c r="A520" s="10"/>
      <c r="B520" s="10"/>
    </row>
    <row r="521" spans="1:2">
      <c r="A521" s="10"/>
      <c r="B521" s="10"/>
    </row>
    <row r="522" spans="1:2">
      <c r="A522" s="10"/>
      <c r="B522" s="10"/>
    </row>
    <row r="523" spans="1:2">
      <c r="A523" s="10"/>
      <c r="B523" s="10"/>
    </row>
    <row r="524" spans="1:2">
      <c r="A524" s="10"/>
      <c r="B524" s="10"/>
    </row>
    <row r="525" spans="1:2">
      <c r="A525" s="10"/>
      <c r="B525" s="10"/>
    </row>
    <row r="526" spans="1:2">
      <c r="A526" s="10"/>
      <c r="B526" s="10"/>
    </row>
    <row r="527" spans="1:2">
      <c r="A527" s="10"/>
      <c r="B527" s="10"/>
    </row>
    <row r="528" spans="1:2">
      <c r="A528" s="10"/>
      <c r="B528" s="10"/>
    </row>
    <row r="529" spans="1:2">
      <c r="A529" s="10"/>
      <c r="B529" s="10"/>
    </row>
    <row r="530" spans="1:2">
      <c r="A530" s="10"/>
      <c r="B530" s="10"/>
    </row>
    <row r="531" spans="1:2">
      <c r="A531" s="10"/>
      <c r="B531" s="10"/>
    </row>
    <row r="532" spans="1:2">
      <c r="A532" s="10"/>
      <c r="B532" s="10"/>
    </row>
    <row r="533" spans="1:2">
      <c r="A533" s="10"/>
      <c r="B533" s="10"/>
    </row>
    <row r="534" spans="1:2">
      <c r="A534" s="10"/>
      <c r="B534" s="10"/>
    </row>
    <row r="535" spans="1:2">
      <c r="A535" s="10"/>
      <c r="B535" s="10"/>
    </row>
    <row r="536" spans="1:2">
      <c r="A536" s="10"/>
      <c r="B536" s="10"/>
    </row>
    <row r="537" spans="1:2">
      <c r="A537" s="10"/>
      <c r="B537" s="10"/>
    </row>
    <row r="538" spans="1:2">
      <c r="A538" s="10"/>
      <c r="B538" s="10"/>
    </row>
    <row r="539" spans="1:2">
      <c r="A539" s="10"/>
      <c r="B539" s="10"/>
    </row>
    <row r="540" spans="1:2">
      <c r="A540" s="10"/>
      <c r="B540" s="10"/>
    </row>
    <row r="541" spans="1:2">
      <c r="A541" s="10"/>
      <c r="B541" s="10"/>
    </row>
    <row r="542" spans="1:2">
      <c r="A542" s="10"/>
      <c r="B542" s="10"/>
    </row>
    <row r="543" spans="1:2">
      <c r="A543" s="10"/>
      <c r="B543" s="10"/>
    </row>
    <row r="544" spans="1:2">
      <c r="A544" s="10"/>
      <c r="B544" s="10"/>
    </row>
    <row r="545" spans="1:2">
      <c r="A545" s="10"/>
      <c r="B545" s="10"/>
    </row>
    <row r="546" spans="1:2">
      <c r="A546" s="10"/>
      <c r="B546" s="10"/>
    </row>
    <row r="547" spans="1:2">
      <c r="A547" s="10"/>
      <c r="B547" s="10"/>
    </row>
    <row r="548" spans="1:2">
      <c r="A548" s="10"/>
      <c r="B548" s="10"/>
    </row>
    <row r="549" spans="1:2">
      <c r="A549" s="10"/>
      <c r="B549" s="10"/>
    </row>
    <row r="550" spans="1:2">
      <c r="A550" s="10"/>
      <c r="B550" s="10"/>
    </row>
    <row r="551" spans="1:2">
      <c r="A551" s="10"/>
      <c r="B551" s="10"/>
    </row>
    <row r="552" spans="1:2">
      <c r="A552" s="10"/>
      <c r="B552" s="10"/>
    </row>
    <row r="553" spans="1:2">
      <c r="A553" s="10"/>
      <c r="B553" s="10"/>
    </row>
    <row r="554" spans="1:2">
      <c r="A554" s="10"/>
      <c r="B554" s="10"/>
    </row>
    <row r="555" spans="1:2">
      <c r="A555" s="10"/>
      <c r="B555" s="10"/>
    </row>
    <row r="556" spans="1:2">
      <c r="A556" s="10"/>
      <c r="B556" s="10"/>
    </row>
    <row r="557" spans="1:2">
      <c r="A557" s="10"/>
      <c r="B557" s="10"/>
    </row>
    <row r="558" spans="1:2">
      <c r="A558" s="10"/>
      <c r="B558" s="10"/>
    </row>
    <row r="559" spans="1:2">
      <c r="A559" s="10"/>
      <c r="B559" s="10"/>
    </row>
    <row r="560" spans="1:2">
      <c r="A560" s="10"/>
      <c r="B560" s="10"/>
    </row>
    <row r="561" spans="1:2">
      <c r="A561" s="10"/>
      <c r="B561" s="10"/>
    </row>
    <row r="562" spans="1:2">
      <c r="A562" s="10"/>
      <c r="B562" s="10"/>
    </row>
    <row r="563" spans="1:2">
      <c r="A563" s="10"/>
      <c r="B563" s="10"/>
    </row>
    <row r="564" spans="1:2">
      <c r="A564" s="10"/>
      <c r="B564" s="10"/>
    </row>
    <row r="565" spans="1:2">
      <c r="A565" s="10"/>
      <c r="B565" s="10"/>
    </row>
    <row r="566" spans="1:2">
      <c r="A566" s="10"/>
      <c r="B566" s="10"/>
    </row>
    <row r="567" spans="1:2">
      <c r="A567" s="10"/>
      <c r="B567" s="10"/>
    </row>
    <row r="568" spans="1:2">
      <c r="A568" s="10"/>
      <c r="B568" s="10"/>
    </row>
    <row r="569" spans="1:2">
      <c r="A569" s="10"/>
      <c r="B569" s="10"/>
    </row>
    <row r="570" spans="1:2">
      <c r="A570" s="10"/>
      <c r="B570" s="10"/>
    </row>
    <row r="571" spans="1:2">
      <c r="A571" s="10"/>
      <c r="B571" s="10"/>
    </row>
    <row r="572" spans="1:2">
      <c r="A572" s="10"/>
      <c r="B572" s="10"/>
    </row>
    <row r="573" spans="1:2">
      <c r="A573" s="10"/>
      <c r="B573" s="10"/>
    </row>
    <row r="574" spans="1:2">
      <c r="A574" s="10"/>
      <c r="B574" s="10"/>
    </row>
    <row r="575" spans="1:2">
      <c r="A575" s="10"/>
      <c r="B575" s="10"/>
    </row>
    <row r="576" spans="1:2">
      <c r="A576" s="10"/>
      <c r="B576" s="10"/>
    </row>
    <row r="577" spans="1:2">
      <c r="A577" s="10"/>
      <c r="B577" s="10"/>
    </row>
    <row r="578" spans="1:2">
      <c r="A578" s="10"/>
      <c r="B578" s="10"/>
    </row>
    <row r="579" spans="1:2">
      <c r="A579" s="10"/>
      <c r="B579" s="10"/>
    </row>
    <row r="580" spans="1:2">
      <c r="A580" s="10"/>
      <c r="B580" s="10"/>
    </row>
    <row r="581" spans="1:2">
      <c r="A581" s="10"/>
      <c r="B581" s="10"/>
    </row>
    <row r="582" spans="1:2">
      <c r="A582" s="10"/>
      <c r="B582" s="10"/>
    </row>
    <row r="583" spans="1:2">
      <c r="A583" s="10"/>
      <c r="B583" s="10"/>
    </row>
    <row r="584" spans="1:2">
      <c r="A584" s="10"/>
      <c r="B584" s="10"/>
    </row>
    <row r="585" spans="1:2">
      <c r="A585" s="10"/>
      <c r="B585" s="10"/>
    </row>
    <row r="586" spans="1:2">
      <c r="A586" s="10"/>
      <c r="B586" s="10"/>
    </row>
    <row r="587" spans="1:2">
      <c r="A587" s="10"/>
      <c r="B587" s="10"/>
    </row>
    <row r="588" spans="1:2">
      <c r="A588" s="10"/>
      <c r="B588" s="10"/>
    </row>
    <row r="589" spans="1:2">
      <c r="A589" s="10"/>
      <c r="B589" s="10"/>
    </row>
    <row r="590" spans="1:2">
      <c r="A590" s="10"/>
      <c r="B590" s="10"/>
    </row>
    <row r="591" spans="1:2">
      <c r="A591" s="10"/>
      <c r="B591" s="10"/>
    </row>
    <row r="592" spans="1:2">
      <c r="A592" s="10"/>
      <c r="B592" s="10"/>
    </row>
    <row r="593" spans="1:2">
      <c r="A593" s="10"/>
      <c r="B593" s="10"/>
    </row>
    <row r="594" spans="1:2">
      <c r="A594" s="10"/>
      <c r="B594" s="10"/>
    </row>
    <row r="595" spans="1:2">
      <c r="A595" s="10"/>
      <c r="B595" s="10"/>
    </row>
    <row r="596" spans="1:2">
      <c r="A596" s="10"/>
      <c r="B596" s="10"/>
    </row>
    <row r="597" spans="1:2">
      <c r="A597" s="10"/>
      <c r="B597" s="10"/>
    </row>
    <row r="598" spans="1:2">
      <c r="A598" s="10"/>
      <c r="B598" s="10"/>
    </row>
    <row r="599" spans="1:2">
      <c r="A599" s="10"/>
      <c r="B599" s="10"/>
    </row>
    <row r="600" spans="1:2">
      <c r="A600" s="10"/>
      <c r="B600" s="10"/>
    </row>
    <row r="601" spans="1:2">
      <c r="A601" s="10"/>
      <c r="B601" s="10"/>
    </row>
    <row r="602" spans="1:2">
      <c r="A602" s="10"/>
      <c r="B602" s="10"/>
    </row>
    <row r="603" spans="1:2">
      <c r="A603" s="10"/>
      <c r="B603" s="10"/>
    </row>
    <row r="604" spans="1:2">
      <c r="A604" s="10"/>
      <c r="B604" s="10"/>
    </row>
    <row r="605" spans="1:2">
      <c r="A605" s="10"/>
      <c r="B605" s="10"/>
    </row>
    <row r="606" spans="1:2">
      <c r="A606" s="10"/>
      <c r="B606" s="10"/>
    </row>
    <row r="607" spans="1:2">
      <c r="A607" s="10"/>
      <c r="B607" s="10"/>
    </row>
    <row r="608" spans="1:2">
      <c r="A608" s="10"/>
      <c r="B608" s="10"/>
    </row>
    <row r="609" spans="1:2">
      <c r="A609" s="10"/>
      <c r="B609" s="10"/>
    </row>
    <row r="610" spans="1:2">
      <c r="A610" s="10"/>
      <c r="B610" s="10"/>
    </row>
    <row r="611" spans="1:2">
      <c r="A611" s="10"/>
      <c r="B611" s="10"/>
    </row>
    <row r="612" spans="1:2">
      <c r="A612" s="10"/>
      <c r="B612" s="10"/>
    </row>
    <row r="613" spans="1:2">
      <c r="A613" s="10"/>
      <c r="B613" s="10"/>
    </row>
    <row r="614" spans="1:2">
      <c r="A614" s="10"/>
      <c r="B614" s="10"/>
    </row>
    <row r="615" spans="1:2">
      <c r="A615" s="10"/>
      <c r="B615" s="10"/>
    </row>
    <row r="616" spans="1:2">
      <c r="A616" s="10"/>
      <c r="B616" s="10"/>
    </row>
    <row r="617" spans="1:2">
      <c r="A617" s="10"/>
      <c r="B617" s="10"/>
    </row>
    <row r="618" spans="1:2">
      <c r="A618" s="10"/>
      <c r="B618" s="10"/>
    </row>
    <row r="619" spans="1:2">
      <c r="A619" s="10"/>
      <c r="B619" s="10"/>
    </row>
    <row r="620" spans="1:2">
      <c r="A620" s="10"/>
      <c r="B620" s="10"/>
    </row>
    <row r="621" spans="1:2">
      <c r="A621" s="10"/>
      <c r="B621" s="10"/>
    </row>
    <row r="622" spans="1:2">
      <c r="A622" s="10"/>
      <c r="B622" s="10"/>
    </row>
    <row r="623" spans="1:2">
      <c r="A623" s="10"/>
      <c r="B623" s="10"/>
    </row>
    <row r="624" spans="1:2">
      <c r="A624" s="10"/>
      <c r="B624" s="10"/>
    </row>
    <row r="625" spans="1:2">
      <c r="A625" s="10"/>
      <c r="B625" s="10"/>
    </row>
    <row r="626" spans="1:2">
      <c r="A626" s="10"/>
      <c r="B626" s="10"/>
    </row>
    <row r="627" spans="1:2">
      <c r="A627" s="10"/>
      <c r="B627" s="10"/>
    </row>
    <row r="628" spans="1:2">
      <c r="A628" s="10"/>
      <c r="B628" s="10"/>
    </row>
    <row r="629" spans="1:2">
      <c r="A629" s="10"/>
      <c r="B629" s="10"/>
    </row>
    <row r="630" spans="1:2">
      <c r="A630" s="10"/>
      <c r="B630" s="10"/>
    </row>
    <row r="631" spans="1:2">
      <c r="A631" s="10"/>
      <c r="B631" s="10"/>
    </row>
    <row r="632" spans="1:2">
      <c r="A632" s="10"/>
      <c r="B632" s="10"/>
    </row>
    <row r="633" spans="1:2">
      <c r="A633" s="10"/>
      <c r="B633" s="10"/>
    </row>
    <row r="634" spans="1:2">
      <c r="A634" s="10"/>
      <c r="B634" s="10"/>
    </row>
    <row r="635" spans="1:2">
      <c r="A635" s="10"/>
      <c r="B635" s="10"/>
    </row>
    <row r="636" spans="1:2">
      <c r="A636" s="10"/>
      <c r="B636" s="10"/>
    </row>
    <row r="637" spans="1:2">
      <c r="A637" s="10"/>
      <c r="B637" s="10"/>
    </row>
    <row r="638" spans="1:2">
      <c r="A638" s="10"/>
      <c r="B638" s="10"/>
    </row>
    <row r="639" spans="1:2">
      <c r="A639" s="10"/>
      <c r="B639" s="10"/>
    </row>
    <row r="640" spans="1:2">
      <c r="A640" s="10"/>
      <c r="B640" s="10"/>
    </row>
    <row r="641" spans="1:2">
      <c r="A641" s="10"/>
      <c r="B641" s="10"/>
    </row>
    <row r="642" spans="1:2">
      <c r="A642" s="10"/>
      <c r="B642" s="10"/>
    </row>
    <row r="643" spans="1:2">
      <c r="A643" s="10"/>
      <c r="B643" s="10"/>
    </row>
    <row r="644" spans="1:2">
      <c r="A644" s="10"/>
      <c r="B644" s="10"/>
    </row>
    <row r="645" spans="1:2">
      <c r="A645" s="10"/>
      <c r="B645" s="10"/>
    </row>
    <row r="646" spans="1:2">
      <c r="A646" s="10"/>
      <c r="B646" s="10"/>
    </row>
    <row r="647" spans="1:2">
      <c r="A647" s="10"/>
      <c r="B647" s="10"/>
    </row>
    <row r="648" spans="1:2">
      <c r="A648" s="10"/>
      <c r="B648" s="10"/>
    </row>
    <row r="649" spans="1:2">
      <c r="A649" s="10"/>
      <c r="B649" s="10"/>
    </row>
    <row r="650" spans="1:2">
      <c r="A650" s="10"/>
      <c r="B650" s="10"/>
    </row>
    <row r="651" spans="1:2">
      <c r="A651" s="10"/>
      <c r="B651" s="10"/>
    </row>
    <row r="652" spans="1:2">
      <c r="A652" s="10"/>
      <c r="B652" s="10"/>
    </row>
    <row r="653" spans="1:2">
      <c r="A653" s="10"/>
      <c r="B653" s="10"/>
    </row>
    <row r="654" spans="1:2">
      <c r="A654" s="10"/>
      <c r="B654" s="10"/>
    </row>
    <row r="655" spans="1:2">
      <c r="A655" s="10"/>
      <c r="B655" s="10"/>
    </row>
    <row r="656" spans="1:2">
      <c r="A656" s="10"/>
      <c r="B656" s="10"/>
    </row>
    <row r="657" spans="1:2">
      <c r="A657" s="10"/>
      <c r="B657" s="10"/>
    </row>
    <row r="658" spans="1:2">
      <c r="A658" s="10"/>
      <c r="B658" s="10"/>
    </row>
    <row r="659" spans="1:2">
      <c r="A659" s="10"/>
      <c r="B659" s="10"/>
    </row>
    <row r="660" spans="1:2">
      <c r="A660" s="10"/>
      <c r="B660" s="10"/>
    </row>
    <row r="661" spans="1:2">
      <c r="A661" s="10"/>
      <c r="B661" s="10"/>
    </row>
    <row r="662" spans="1:2">
      <c r="A662" s="10"/>
      <c r="B662" s="10"/>
    </row>
    <row r="663" spans="1:2">
      <c r="A663" s="10"/>
      <c r="B663" s="10"/>
    </row>
    <row r="664" spans="1:2">
      <c r="A664" s="10"/>
      <c r="B664" s="10"/>
    </row>
    <row r="665" spans="1:2">
      <c r="A665" s="10"/>
      <c r="B665" s="10"/>
    </row>
    <row r="666" spans="1:2">
      <c r="A666" s="10"/>
      <c r="B666" s="10"/>
    </row>
    <row r="667" spans="1:2">
      <c r="A667" s="10"/>
      <c r="B667" s="10"/>
    </row>
    <row r="668" spans="1:2">
      <c r="A668" s="10"/>
      <c r="B668" s="10"/>
    </row>
    <row r="669" spans="1:2">
      <c r="A669" s="10"/>
      <c r="B669" s="10"/>
    </row>
    <row r="670" spans="1:2">
      <c r="A670" s="10"/>
      <c r="B670" s="10"/>
    </row>
    <row r="671" spans="1:2">
      <c r="A671" s="10"/>
      <c r="B671" s="10"/>
    </row>
    <row r="672" spans="1:2">
      <c r="A672" s="10"/>
      <c r="B672" s="10"/>
    </row>
    <row r="673" spans="1:2">
      <c r="A673" s="10"/>
      <c r="B673" s="10"/>
    </row>
    <row r="674" spans="1:2">
      <c r="A674" s="10"/>
      <c r="B674" s="10"/>
    </row>
    <row r="675" spans="1:2">
      <c r="A675" s="10"/>
      <c r="B675" s="10"/>
    </row>
    <row r="676" spans="1:2">
      <c r="A676" s="10"/>
      <c r="B676" s="10"/>
    </row>
    <row r="677" spans="1:2">
      <c r="A677" s="10"/>
      <c r="B677" s="10"/>
    </row>
    <row r="678" spans="1:2">
      <c r="A678" s="10"/>
      <c r="B678" s="10"/>
    </row>
    <row r="679" spans="1:2">
      <c r="A679" s="10"/>
      <c r="B679" s="10"/>
    </row>
    <row r="680" spans="1:2">
      <c r="A680" s="10"/>
      <c r="B680" s="10"/>
    </row>
    <row r="681" spans="1:2">
      <c r="A681" s="10"/>
      <c r="B681" s="10"/>
    </row>
    <row r="682" spans="1:2">
      <c r="A682" s="10"/>
      <c r="B682" s="10"/>
    </row>
    <row r="683" spans="1:2">
      <c r="A683" s="10"/>
      <c r="B683" s="10"/>
    </row>
    <row r="684" spans="1:2">
      <c r="A684" s="10"/>
      <c r="B684" s="10"/>
    </row>
    <row r="685" spans="1:2">
      <c r="A685" s="10"/>
      <c r="B685" s="10"/>
    </row>
    <row r="686" spans="1:2">
      <c r="A686" s="10"/>
      <c r="B686" s="10"/>
    </row>
    <row r="687" spans="1:2">
      <c r="A687" s="10"/>
      <c r="B687" s="10"/>
    </row>
    <row r="688" spans="1:2">
      <c r="A688" s="10"/>
      <c r="B688" s="10"/>
    </row>
    <row r="689" spans="1:2">
      <c r="A689" s="10"/>
      <c r="B689" s="10"/>
    </row>
    <row r="690" spans="1:2">
      <c r="A690" s="10"/>
      <c r="B690" s="10"/>
    </row>
    <row r="691" spans="1:2">
      <c r="A691" s="10"/>
      <c r="B691" s="10"/>
    </row>
    <row r="692" spans="1:2">
      <c r="A692" s="10"/>
      <c r="B692" s="10"/>
    </row>
    <row r="693" spans="1:2">
      <c r="A693" s="10"/>
      <c r="B693" s="10"/>
    </row>
    <row r="694" spans="1:2">
      <c r="A694" s="10"/>
      <c r="B694" s="10"/>
    </row>
    <row r="695" spans="1:2">
      <c r="A695" s="10"/>
      <c r="B695" s="10"/>
    </row>
    <row r="696" spans="1:2">
      <c r="A696" s="10"/>
      <c r="B696" s="10"/>
    </row>
    <row r="697" spans="1:2">
      <c r="A697" s="10"/>
      <c r="B697" s="10"/>
    </row>
    <row r="698" spans="1:2">
      <c r="A698" s="10"/>
      <c r="B698" s="10"/>
    </row>
    <row r="699" spans="1:2">
      <c r="A699" s="10"/>
      <c r="B699" s="10"/>
    </row>
    <row r="700" spans="1:2">
      <c r="A700" s="10"/>
      <c r="B700" s="10"/>
    </row>
    <row r="701" spans="1:2">
      <c r="A701" s="10"/>
      <c r="B701" s="10"/>
    </row>
    <row r="702" spans="1:2">
      <c r="A702" s="10"/>
      <c r="B702" s="10"/>
    </row>
    <row r="703" spans="1:2">
      <c r="A703" s="10"/>
      <c r="B703" s="10"/>
    </row>
    <row r="704" spans="1:2">
      <c r="A704" s="10"/>
      <c r="B704" s="10"/>
    </row>
    <row r="705" spans="1:2">
      <c r="A705" s="10"/>
      <c r="B705" s="10"/>
    </row>
    <row r="706" spans="1:2">
      <c r="A706" s="10"/>
      <c r="B706" s="10"/>
    </row>
    <row r="707" spans="1:2">
      <c r="A707" s="10"/>
      <c r="B707" s="10"/>
    </row>
    <row r="708" spans="1:2">
      <c r="A708" s="10"/>
      <c r="B708" s="10"/>
    </row>
    <row r="709" spans="1:2">
      <c r="A709" s="10"/>
      <c r="B709" s="10"/>
    </row>
    <row r="710" spans="1:2">
      <c r="A710" s="10"/>
      <c r="B710" s="10"/>
    </row>
    <row r="711" spans="1:2">
      <c r="A711" s="10"/>
      <c r="B711" s="10"/>
    </row>
    <row r="712" spans="1:2">
      <c r="A712" s="10"/>
      <c r="B712" s="10"/>
    </row>
    <row r="713" spans="1:2">
      <c r="A713" s="10"/>
      <c r="B713" s="10"/>
    </row>
    <row r="714" spans="1:2">
      <c r="A714" s="10"/>
      <c r="B714" s="10"/>
    </row>
    <row r="715" spans="1:2">
      <c r="A715" s="10"/>
      <c r="B715" s="10"/>
    </row>
    <row r="716" spans="1:2">
      <c r="A716" s="10"/>
      <c r="B716" s="10"/>
    </row>
    <row r="717" spans="1:2">
      <c r="A717" s="10"/>
      <c r="B717" s="10"/>
    </row>
    <row r="718" spans="1:2">
      <c r="A718" s="10"/>
      <c r="B718" s="10"/>
    </row>
    <row r="719" spans="1:2">
      <c r="A719" s="10"/>
      <c r="B719" s="10"/>
    </row>
    <row r="720" spans="1:2">
      <c r="A720" s="10"/>
      <c r="B720" s="10"/>
    </row>
    <row r="721" spans="1:2">
      <c r="A721" s="10"/>
      <c r="B721" s="10"/>
    </row>
    <row r="722" spans="1:2">
      <c r="A722" s="10"/>
      <c r="B722" s="10"/>
    </row>
    <row r="723" spans="1:2">
      <c r="A723" s="10"/>
      <c r="B723" s="10"/>
    </row>
    <row r="724" spans="1:2">
      <c r="A724" s="10"/>
      <c r="B724" s="10"/>
    </row>
    <row r="725" spans="1:2">
      <c r="A725" s="10"/>
      <c r="B725" s="10"/>
    </row>
    <row r="726" spans="1:2">
      <c r="A726" s="10"/>
      <c r="B726" s="10"/>
    </row>
    <row r="727" spans="1:2">
      <c r="A727" s="10"/>
      <c r="B727" s="10"/>
    </row>
    <row r="728" spans="1:2">
      <c r="A728" s="10"/>
      <c r="B728" s="10"/>
    </row>
    <row r="729" spans="1:2">
      <c r="A729" s="10"/>
      <c r="B729" s="10"/>
    </row>
    <row r="730" spans="1:2">
      <c r="A730" s="10"/>
      <c r="B730" s="10"/>
    </row>
    <row r="731" spans="1:2">
      <c r="A731" s="10"/>
      <c r="B731" s="10"/>
    </row>
    <row r="732" spans="1:2">
      <c r="A732" s="10"/>
      <c r="B732" s="10"/>
    </row>
    <row r="733" spans="1:2">
      <c r="A733" s="10"/>
      <c r="B733" s="10"/>
    </row>
    <row r="734" spans="1:2">
      <c r="A734" s="10"/>
      <c r="B734" s="10"/>
    </row>
    <row r="735" spans="1:2">
      <c r="A735" s="10"/>
      <c r="B735" s="10"/>
    </row>
    <row r="736" spans="1:2">
      <c r="A736" s="10"/>
      <c r="B736" s="10"/>
    </row>
    <row r="737" spans="1:2">
      <c r="A737" s="10"/>
      <c r="B737" s="10"/>
    </row>
    <row r="738" spans="1:2">
      <c r="A738" s="10"/>
      <c r="B738" s="10"/>
    </row>
    <row r="739" spans="1:2">
      <c r="A739" s="10"/>
      <c r="B739" s="10"/>
    </row>
    <row r="740" spans="1:2">
      <c r="A740" s="10"/>
      <c r="B740" s="10"/>
    </row>
    <row r="741" spans="1:2">
      <c r="A741" s="10"/>
      <c r="B741" s="10"/>
    </row>
    <row r="742" spans="1:2">
      <c r="A742" s="10"/>
      <c r="B742" s="10"/>
    </row>
    <row r="743" spans="1:2">
      <c r="A743" s="10"/>
      <c r="B743" s="10"/>
    </row>
    <row r="744" spans="1:2">
      <c r="A744" s="10"/>
      <c r="B744" s="10"/>
    </row>
    <row r="745" spans="1:2">
      <c r="A745" s="10"/>
      <c r="B745" s="10"/>
    </row>
    <row r="746" spans="1:2">
      <c r="A746" s="10"/>
      <c r="B746" s="10"/>
    </row>
    <row r="747" spans="1:2">
      <c r="A747" s="10"/>
      <c r="B747" s="10"/>
    </row>
    <row r="748" spans="1:2">
      <c r="A748" s="10"/>
      <c r="B748" s="10"/>
    </row>
    <row r="749" spans="1:2">
      <c r="A749" s="10"/>
      <c r="B749" s="10"/>
    </row>
    <row r="750" spans="1:2">
      <c r="A750" s="10"/>
      <c r="B750" s="10"/>
    </row>
    <row r="751" spans="1:2">
      <c r="A751" s="10"/>
      <c r="B751" s="10"/>
    </row>
    <row r="752" spans="1:2">
      <c r="A752" s="10"/>
      <c r="B752" s="10"/>
    </row>
    <row r="753" spans="1:2">
      <c r="A753" s="10"/>
      <c r="B753" s="10"/>
    </row>
    <row r="754" spans="1:2">
      <c r="A754" s="10"/>
      <c r="B754" s="10"/>
    </row>
    <row r="755" spans="1:2">
      <c r="A755" s="10"/>
      <c r="B755" s="10"/>
    </row>
    <row r="756" spans="1:2">
      <c r="A756" s="10"/>
      <c r="B756" s="10"/>
    </row>
    <row r="757" spans="1:2">
      <c r="A757" s="10"/>
      <c r="B757" s="10"/>
    </row>
    <row r="758" spans="1:2">
      <c r="A758" s="10"/>
      <c r="B758" s="10"/>
    </row>
    <row r="759" spans="1:2">
      <c r="A759" s="10"/>
      <c r="B759" s="10"/>
    </row>
    <row r="760" spans="1:2">
      <c r="A760" s="10"/>
      <c r="B760" s="10"/>
    </row>
    <row r="761" spans="1:2">
      <c r="A761" s="10"/>
      <c r="B761" s="10"/>
    </row>
    <row r="762" spans="1:2">
      <c r="A762" s="10"/>
      <c r="B762" s="10"/>
    </row>
    <row r="763" spans="1:2">
      <c r="A763" s="10"/>
      <c r="B763" s="10"/>
    </row>
    <row r="764" spans="1:2">
      <c r="A764" s="10"/>
      <c r="B764" s="10"/>
    </row>
    <row r="765" spans="1:2">
      <c r="A765" s="10"/>
      <c r="B765" s="10"/>
    </row>
    <row r="766" spans="1:2">
      <c r="A766" s="10"/>
      <c r="B766" s="10"/>
    </row>
    <row r="767" spans="1:2">
      <c r="A767" s="10"/>
      <c r="B767" s="10"/>
    </row>
    <row r="768" spans="1:2">
      <c r="A768" s="10"/>
      <c r="B768" s="10"/>
    </row>
    <row r="769" spans="1:2">
      <c r="A769" s="10"/>
      <c r="B769" s="10"/>
    </row>
    <row r="770" spans="1:2">
      <c r="A770" s="10" t="s">
        <v>1870</v>
      </c>
      <c r="B770" s="10" t="s">
        <v>1871</v>
      </c>
    </row>
    <row r="771" spans="1:2">
      <c r="A771" s="10" t="s">
        <v>1872</v>
      </c>
      <c r="B771" s="10" t="s">
        <v>1873</v>
      </c>
    </row>
    <row r="772" spans="1:2">
      <c r="A772" s="10" t="s">
        <v>1872</v>
      </c>
      <c r="B772" s="10" t="s">
        <v>1874</v>
      </c>
    </row>
    <row r="773" spans="1:2">
      <c r="A773" s="10" t="s">
        <v>1872</v>
      </c>
      <c r="B773" s="10" t="s">
        <v>1828</v>
      </c>
    </row>
    <row r="774" spans="1:2">
      <c r="A774" s="10" t="s">
        <v>1872</v>
      </c>
      <c r="B774" s="10" t="s">
        <v>1875</v>
      </c>
    </row>
    <row r="775" spans="1:2">
      <c r="A775" s="10" t="s">
        <v>1872</v>
      </c>
      <c r="B775" s="10" t="s">
        <v>1876</v>
      </c>
    </row>
    <row r="776" spans="1:2">
      <c r="A776" s="10" t="s">
        <v>1872</v>
      </c>
      <c r="B776" s="10" t="s">
        <v>1877</v>
      </c>
    </row>
    <row r="777" spans="1:2">
      <c r="A777" s="10" t="s">
        <v>1878</v>
      </c>
      <c r="B777" s="10" t="s">
        <v>1879</v>
      </c>
    </row>
    <row r="778" spans="1:2">
      <c r="A778" s="10" t="s">
        <v>1878</v>
      </c>
      <c r="B778" s="10" t="s">
        <v>1880</v>
      </c>
    </row>
    <row r="779" spans="1:2">
      <c r="A779" s="10" t="s">
        <v>1878</v>
      </c>
      <c r="B779" s="10" t="s">
        <v>1881</v>
      </c>
    </row>
    <row r="780" spans="1:2">
      <c r="A780" s="10" t="s">
        <v>1878</v>
      </c>
      <c r="B780" s="10" t="s">
        <v>1882</v>
      </c>
    </row>
    <row r="781" spans="1:2">
      <c r="A781" s="10" t="s">
        <v>1883</v>
      </c>
      <c r="B781" s="10" t="s">
        <v>1884</v>
      </c>
    </row>
    <row r="782" spans="1:2">
      <c r="A782" s="10" t="s">
        <v>1885</v>
      </c>
      <c r="B782" s="10" t="s">
        <v>1886</v>
      </c>
    </row>
    <row r="783" spans="1:2">
      <c r="A783" s="10" t="s">
        <v>1885</v>
      </c>
      <c r="B783" s="10" t="s">
        <v>1887</v>
      </c>
    </row>
    <row r="784" spans="1:2">
      <c r="A784" s="10" t="s">
        <v>1888</v>
      </c>
      <c r="B784" s="10" t="s">
        <v>1889</v>
      </c>
    </row>
    <row r="785" spans="1:2">
      <c r="A785" s="10" t="s">
        <v>1890</v>
      </c>
      <c r="B785" s="10" t="s">
        <v>1891</v>
      </c>
    </row>
    <row r="786" spans="1:2">
      <c r="A786" s="10" t="s">
        <v>1892</v>
      </c>
      <c r="B786" s="10" t="s">
        <v>1893</v>
      </c>
    </row>
    <row r="787" spans="1:2">
      <c r="A787" s="10" t="s">
        <v>1894</v>
      </c>
      <c r="B787" s="10" t="s">
        <v>1895</v>
      </c>
    </row>
    <row r="788" spans="1:2">
      <c r="A788" s="10" t="s">
        <v>1896</v>
      </c>
      <c r="B788" s="10" t="s">
        <v>1897</v>
      </c>
    </row>
    <row r="789" spans="1:2">
      <c r="A789" s="10" t="s">
        <v>1898</v>
      </c>
      <c r="B789" s="10" t="s">
        <v>1899</v>
      </c>
    </row>
    <row r="790" spans="1:2">
      <c r="A790" s="10" t="s">
        <v>1900</v>
      </c>
      <c r="B790" s="10" t="s">
        <v>1901</v>
      </c>
    </row>
    <row r="791" spans="1:2">
      <c r="A791" s="10" t="s">
        <v>1902</v>
      </c>
      <c r="B791" s="10" t="s">
        <v>1903</v>
      </c>
    </row>
    <row r="792" spans="1:2">
      <c r="A792" s="10" t="s">
        <v>1904</v>
      </c>
      <c r="B792" s="10" t="s">
        <v>1871</v>
      </c>
    </row>
    <row r="793" spans="1:2">
      <c r="A793" s="10" t="s">
        <v>1905</v>
      </c>
      <c r="B793" s="10" t="s">
        <v>1875</v>
      </c>
    </row>
    <row r="794" spans="1:2">
      <c r="A794" s="10" t="s">
        <v>1905</v>
      </c>
      <c r="B794" s="10" t="s">
        <v>1906</v>
      </c>
    </row>
    <row r="795" spans="1:2">
      <c r="A795" s="10" t="s">
        <v>1905</v>
      </c>
      <c r="B795" s="10" t="s">
        <v>1874</v>
      </c>
    </row>
    <row r="796" spans="1:2">
      <c r="A796" s="10" t="s">
        <v>1907</v>
      </c>
      <c r="B796" s="10" t="s">
        <v>1908</v>
      </c>
    </row>
    <row r="797" spans="1:2">
      <c r="A797" s="10" t="s">
        <v>1907</v>
      </c>
      <c r="B797" s="10" t="s">
        <v>1909</v>
      </c>
    </row>
    <row r="798" spans="1:2">
      <c r="A798" s="10" t="s">
        <v>1910</v>
      </c>
      <c r="B798" s="10" t="s">
        <v>1873</v>
      </c>
    </row>
    <row r="799" spans="1:2">
      <c r="A799" s="10" t="s">
        <v>1911</v>
      </c>
      <c r="B799" s="10" t="s">
        <v>1912</v>
      </c>
    </row>
    <row r="800" spans="1:2">
      <c r="A800" s="10" t="s">
        <v>1911</v>
      </c>
      <c r="B800" s="10" t="s">
        <v>1909</v>
      </c>
    </row>
    <row r="801" spans="1:2">
      <c r="A801" s="10" t="s">
        <v>1911</v>
      </c>
      <c r="B801" s="10" t="s">
        <v>1913</v>
      </c>
    </row>
    <row r="802" spans="1:2">
      <c r="A802" s="10" t="s">
        <v>1914</v>
      </c>
      <c r="B802" s="10" t="s">
        <v>1915</v>
      </c>
    </row>
    <row r="803" spans="1:2">
      <c r="A803" s="10" t="s">
        <v>1916</v>
      </c>
      <c r="B803" s="10" t="s">
        <v>1917</v>
      </c>
    </row>
    <row r="804" spans="1:2">
      <c r="A804" s="10" t="s">
        <v>1916</v>
      </c>
      <c r="B804" s="10" t="s">
        <v>1918</v>
      </c>
    </row>
    <row r="805" spans="1:2">
      <c r="A805" s="10" t="s">
        <v>1919</v>
      </c>
      <c r="B805" s="10" t="s">
        <v>1920</v>
      </c>
    </row>
    <row r="806" spans="1:2">
      <c r="A806" s="10" t="s">
        <v>1921</v>
      </c>
      <c r="B806" s="10" t="s">
        <v>1922</v>
      </c>
    </row>
    <row r="807" spans="1:2">
      <c r="A807" s="10" t="s">
        <v>1923</v>
      </c>
      <c r="B807" s="10" t="s">
        <v>1924</v>
      </c>
    </row>
    <row r="808" spans="1:2">
      <c r="A808" s="10" t="s">
        <v>1923</v>
      </c>
      <c r="B808" s="10" t="s">
        <v>1925</v>
      </c>
    </row>
    <row r="809" spans="1:2">
      <c r="A809" s="10" t="s">
        <v>1926</v>
      </c>
      <c r="B809" s="10" t="s">
        <v>1927</v>
      </c>
    </row>
    <row r="810" spans="1:2">
      <c r="A810" s="10" t="s">
        <v>1926</v>
      </c>
      <c r="B810" s="10" t="s">
        <v>1887</v>
      </c>
    </row>
    <row r="811" spans="1:2">
      <c r="A811" s="10" t="s">
        <v>1926</v>
      </c>
      <c r="B811" s="10" t="s">
        <v>1928</v>
      </c>
    </row>
    <row r="812" spans="1:2">
      <c r="A812" s="10" t="s">
        <v>1929</v>
      </c>
      <c r="B812" s="10" t="s">
        <v>1930</v>
      </c>
    </row>
    <row r="813" spans="1:2">
      <c r="A813" s="10" t="s">
        <v>1931</v>
      </c>
      <c r="B813" s="10" t="s">
        <v>1932</v>
      </c>
    </row>
    <row r="814" spans="1:2">
      <c r="A814" s="10" t="s">
        <v>1931</v>
      </c>
      <c r="B814" s="10" t="s">
        <v>1933</v>
      </c>
    </row>
    <row r="815" spans="1:2">
      <c r="A815" s="10" t="s">
        <v>1934</v>
      </c>
      <c r="B815" s="10" t="s">
        <v>1935</v>
      </c>
    </row>
    <row r="816" spans="1:2">
      <c r="A816" s="10" t="s">
        <v>1936</v>
      </c>
      <c r="B816" s="10" t="s">
        <v>1937</v>
      </c>
    </row>
    <row r="817" spans="1:2">
      <c r="A817" s="10" t="s">
        <v>1938</v>
      </c>
      <c r="B817" s="10" t="s">
        <v>1939</v>
      </c>
    </row>
    <row r="818" spans="1:2">
      <c r="A818" s="10" t="s">
        <v>1940</v>
      </c>
      <c r="B818" s="10" t="s">
        <v>1941</v>
      </c>
    </row>
    <row r="819" spans="1:2">
      <c r="A819" s="10" t="s">
        <v>1942</v>
      </c>
      <c r="B819" s="10" t="s">
        <v>1943</v>
      </c>
    </row>
    <row r="820" spans="1:2">
      <c r="A820" s="10" t="s">
        <v>1944</v>
      </c>
      <c r="B820" s="10" t="s">
        <v>1945</v>
      </c>
    </row>
    <row r="821" spans="1:2">
      <c r="A821" s="10" t="s">
        <v>1946</v>
      </c>
      <c r="B821" s="10" t="s">
        <v>1947</v>
      </c>
    </row>
    <row r="822" spans="1:2">
      <c r="A822" s="10" t="s">
        <v>1948</v>
      </c>
      <c r="B822" s="10" t="s">
        <v>1949</v>
      </c>
    </row>
    <row r="823" spans="1:2">
      <c r="A823" s="10" t="s">
        <v>1950</v>
      </c>
      <c r="B823" s="10" t="s">
        <v>1951</v>
      </c>
    </row>
    <row r="824" spans="1:2">
      <c r="A824" s="10" t="s">
        <v>1952</v>
      </c>
      <c r="B824" s="10" t="s">
        <v>1953</v>
      </c>
    </row>
    <row r="825" spans="1:2">
      <c r="A825" s="10" t="s">
        <v>1954</v>
      </c>
      <c r="B825" s="10" t="s">
        <v>1955</v>
      </c>
    </row>
    <row r="826" spans="1:2">
      <c r="A826" s="10" t="s">
        <v>1956</v>
      </c>
      <c r="B826" s="10" t="s">
        <v>1953</v>
      </c>
    </row>
    <row r="827" spans="1:2">
      <c r="A827" s="10" t="s">
        <v>1957</v>
      </c>
      <c r="B827" s="10" t="s">
        <v>1871</v>
      </c>
    </row>
    <row r="828" spans="1:2">
      <c r="A828" s="10" t="s">
        <v>1958</v>
      </c>
      <c r="B828" s="10" t="s">
        <v>1871</v>
      </c>
    </row>
    <row r="829" spans="1:2">
      <c r="A829" s="10" t="s">
        <v>1959</v>
      </c>
      <c r="B829" s="10" t="s">
        <v>1960</v>
      </c>
    </row>
    <row r="830" spans="1:2">
      <c r="A830" s="10" t="s">
        <v>1959</v>
      </c>
      <c r="B830" s="10" t="s">
        <v>1961</v>
      </c>
    </row>
    <row r="831" spans="1:2">
      <c r="A831" s="10" t="s">
        <v>1959</v>
      </c>
      <c r="B831" s="10" t="s">
        <v>1962</v>
      </c>
    </row>
    <row r="832" spans="1:2">
      <c r="A832" s="10" t="s">
        <v>1959</v>
      </c>
      <c r="B832" s="10" t="s">
        <v>1924</v>
      </c>
    </row>
    <row r="833" spans="1:2">
      <c r="A833" s="10" t="s">
        <v>1959</v>
      </c>
      <c r="B833" s="10" t="s">
        <v>1963</v>
      </c>
    </row>
    <row r="834" spans="1:2">
      <c r="A834" s="10" t="s">
        <v>1959</v>
      </c>
      <c r="B834" s="10" t="s">
        <v>1964</v>
      </c>
    </row>
    <row r="835" spans="1:2">
      <c r="A835" s="10" t="s">
        <v>1965</v>
      </c>
      <c r="B835" s="10" t="s">
        <v>1953</v>
      </c>
    </row>
    <row r="836" spans="1:2">
      <c r="A836" s="10" t="s">
        <v>1966</v>
      </c>
      <c r="B836" s="10" t="s">
        <v>1967</v>
      </c>
    </row>
    <row r="837" spans="1:2">
      <c r="A837" s="10" t="s">
        <v>1966</v>
      </c>
      <c r="B837" s="10" t="s">
        <v>1968</v>
      </c>
    </row>
    <row r="838" spans="1:2">
      <c r="A838" s="10" t="s">
        <v>1966</v>
      </c>
      <c r="B838" s="10" t="s">
        <v>1969</v>
      </c>
    </row>
    <row r="839" spans="1:2">
      <c r="A839" s="10" t="s">
        <v>1970</v>
      </c>
      <c r="B839" s="10" t="s">
        <v>1971</v>
      </c>
    </row>
    <row r="840" spans="1:2">
      <c r="A840" s="10" t="s">
        <v>1972</v>
      </c>
      <c r="B840" s="10" t="s">
        <v>1973</v>
      </c>
    </row>
    <row r="841" spans="1:2">
      <c r="A841" s="10" t="s">
        <v>1972</v>
      </c>
      <c r="B841" s="10" t="s">
        <v>1974</v>
      </c>
    </row>
    <row r="842" spans="1:2">
      <c r="A842" s="10" t="s">
        <v>1975</v>
      </c>
      <c r="B842" s="10" t="s">
        <v>1976</v>
      </c>
    </row>
    <row r="843" spans="1:2">
      <c r="A843" s="10" t="s">
        <v>1977</v>
      </c>
      <c r="B843" s="10" t="s">
        <v>1953</v>
      </c>
    </row>
    <row r="844" spans="1:2">
      <c r="A844" s="10" t="s">
        <v>1978</v>
      </c>
      <c r="B844" s="10" t="s">
        <v>1979</v>
      </c>
    </row>
    <row r="845" spans="1:2">
      <c r="A845" s="10" t="s">
        <v>1980</v>
      </c>
      <c r="B845" s="10" t="s">
        <v>1981</v>
      </c>
    </row>
    <row r="846" spans="1:2">
      <c r="A846" s="10" t="s">
        <v>1980</v>
      </c>
      <c r="B846" s="10" t="s">
        <v>1982</v>
      </c>
    </row>
    <row r="847" spans="1:2">
      <c r="A847" s="10" t="s">
        <v>1983</v>
      </c>
      <c r="B847" s="10" t="s">
        <v>1984</v>
      </c>
    </row>
    <row r="848" spans="1:2">
      <c r="A848" s="10" t="s">
        <v>1985</v>
      </c>
      <c r="B848" s="10" t="s">
        <v>1953</v>
      </c>
    </row>
    <row r="849" spans="1:2">
      <c r="A849" s="10" t="s">
        <v>1986</v>
      </c>
      <c r="B849" s="10" t="s">
        <v>1953</v>
      </c>
    </row>
    <row r="850" spans="1:2">
      <c r="A850" s="10" t="s">
        <v>1987</v>
      </c>
      <c r="B850" s="10" t="s">
        <v>1988</v>
      </c>
    </row>
    <row r="851" spans="1:2">
      <c r="A851" s="10" t="s">
        <v>1989</v>
      </c>
      <c r="B851" s="10" t="s">
        <v>1990</v>
      </c>
    </row>
    <row r="852" spans="1:2">
      <c r="A852" s="10" t="s">
        <v>1991</v>
      </c>
      <c r="B852" s="10" t="s">
        <v>1992</v>
      </c>
    </row>
    <row r="853" spans="1:2">
      <c r="A853" s="10" t="s">
        <v>1993</v>
      </c>
      <c r="B853" s="10" t="s">
        <v>1953</v>
      </c>
    </row>
    <row r="854" spans="1:2">
      <c r="A854" s="10" t="s">
        <v>1994</v>
      </c>
      <c r="B854" s="10" t="s">
        <v>1953</v>
      </c>
    </row>
    <row r="855" spans="1:2">
      <c r="A855" s="10" t="s">
        <v>1995</v>
      </c>
      <c r="B855" s="10" t="s">
        <v>1930</v>
      </c>
    </row>
    <row r="856" spans="1:2">
      <c r="A856" s="10" t="s">
        <v>1996</v>
      </c>
      <c r="B856" s="10" t="s">
        <v>1953</v>
      </c>
    </row>
    <row r="857" spans="1:2">
      <c r="A857" s="10" t="s">
        <v>1997</v>
      </c>
      <c r="B857" s="10" t="s">
        <v>1998</v>
      </c>
    </row>
    <row r="858" spans="1:2">
      <c r="A858" s="10" t="s">
        <v>1999</v>
      </c>
      <c r="B858" s="10" t="s">
        <v>2000</v>
      </c>
    </row>
    <row r="859" spans="1:2">
      <c r="A859" s="10" t="s">
        <v>2001</v>
      </c>
      <c r="B859" s="10" t="s">
        <v>2002</v>
      </c>
    </row>
    <row r="860" spans="1:2">
      <c r="A860" s="10" t="s">
        <v>2003</v>
      </c>
      <c r="B860" s="10" t="s">
        <v>2002</v>
      </c>
    </row>
    <row r="861" spans="1:2">
      <c r="A861" s="10" t="s">
        <v>2004</v>
      </c>
      <c r="B861" s="10" t="s">
        <v>2002</v>
      </c>
    </row>
    <row r="862" spans="1:2">
      <c r="A862" s="10" t="s">
        <v>2005</v>
      </c>
      <c r="B862" s="10" t="s">
        <v>2006</v>
      </c>
    </row>
    <row r="863" spans="1:2">
      <c r="A863" s="10" t="s">
        <v>2007</v>
      </c>
      <c r="B863" s="10" t="s">
        <v>2008</v>
      </c>
    </row>
    <row r="864" spans="1:2">
      <c r="A864" s="10" t="s">
        <v>2009</v>
      </c>
      <c r="B864" s="10" t="s">
        <v>2002</v>
      </c>
    </row>
    <row r="865" spans="1:2">
      <c r="A865" s="10" t="s">
        <v>2010</v>
      </c>
      <c r="B865" s="10" t="s">
        <v>2011</v>
      </c>
    </row>
    <row r="866" spans="1:2">
      <c r="A866" s="10" t="s">
        <v>2012</v>
      </c>
      <c r="B866" s="10" t="s">
        <v>2013</v>
      </c>
    </row>
    <row r="867" spans="1:2">
      <c r="A867" s="10" t="s">
        <v>2014</v>
      </c>
      <c r="B867" s="10" t="s">
        <v>2015</v>
      </c>
    </row>
    <row r="868" spans="1:2">
      <c r="A868" s="10" t="s">
        <v>2016</v>
      </c>
      <c r="B868" s="10" t="s">
        <v>2002</v>
      </c>
    </row>
    <row r="869" spans="1:2">
      <c r="A869" s="10" t="s">
        <v>2017</v>
      </c>
      <c r="B869" s="10" t="s">
        <v>2002</v>
      </c>
    </row>
    <row r="870" spans="1:2">
      <c r="A870" s="10" t="s">
        <v>2018</v>
      </c>
      <c r="B870" s="10" t="s">
        <v>2002</v>
      </c>
    </row>
    <row r="871" spans="1:2">
      <c r="A871" s="10" t="s">
        <v>2019</v>
      </c>
      <c r="B871" s="10" t="s">
        <v>2002</v>
      </c>
    </row>
    <row r="872" spans="1:2">
      <c r="A872" s="10" t="s">
        <v>2020</v>
      </c>
      <c r="B872" s="10" t="s">
        <v>2021</v>
      </c>
    </row>
    <row r="873" spans="1:2">
      <c r="A873" s="10" t="s">
        <v>2022</v>
      </c>
      <c r="B873" s="10" t="s">
        <v>2023</v>
      </c>
    </row>
    <row r="874" spans="1:2">
      <c r="A874" s="10" t="s">
        <v>2024</v>
      </c>
      <c r="B874" s="10" t="s">
        <v>1953</v>
      </c>
    </row>
    <row r="875" spans="1:2">
      <c r="A875" s="10" t="s">
        <v>2025</v>
      </c>
      <c r="B875" s="10" t="s">
        <v>2026</v>
      </c>
    </row>
    <row r="876" spans="1:2">
      <c r="A876" s="10" t="s">
        <v>2025</v>
      </c>
      <c r="B876" s="10" t="s">
        <v>2027</v>
      </c>
    </row>
    <row r="877" spans="1:2">
      <c r="A877" s="10" t="s">
        <v>2028</v>
      </c>
      <c r="B877" s="10" t="s">
        <v>1953</v>
      </c>
    </row>
    <row r="878" spans="1:2">
      <c r="A878" s="10" t="s">
        <v>2029</v>
      </c>
      <c r="B878" s="10" t="s">
        <v>2027</v>
      </c>
    </row>
    <row r="879" spans="1:2">
      <c r="A879" s="10" t="s">
        <v>2030</v>
      </c>
      <c r="B879" s="10" t="s">
        <v>2027</v>
      </c>
    </row>
    <row r="880" spans="1:2">
      <c r="A880" s="10" t="s">
        <v>2031</v>
      </c>
      <c r="B880" s="10" t="s">
        <v>2032</v>
      </c>
    </row>
    <row r="881" spans="1:2">
      <c r="A881" s="10" t="s">
        <v>2033</v>
      </c>
      <c r="B881" s="10" t="s">
        <v>2034</v>
      </c>
    </row>
    <row r="882" spans="1:2">
      <c r="A882" s="10" t="s">
        <v>2033</v>
      </c>
      <c r="B882" s="10" t="s">
        <v>2027</v>
      </c>
    </row>
    <row r="883" spans="1:2">
      <c r="A883" s="10" t="s">
        <v>2035</v>
      </c>
      <c r="B883" s="10" t="s">
        <v>2036</v>
      </c>
    </row>
    <row r="884" spans="1:2">
      <c r="A884" s="10" t="s">
        <v>2035</v>
      </c>
      <c r="B884" s="10" t="s">
        <v>2027</v>
      </c>
    </row>
    <row r="885" spans="1:2">
      <c r="A885" s="10" t="s">
        <v>2037</v>
      </c>
      <c r="B885" s="10" t="s">
        <v>2038</v>
      </c>
    </row>
    <row r="886" spans="1:2">
      <c r="A886" s="10" t="s">
        <v>2037</v>
      </c>
      <c r="B886" s="10" t="s">
        <v>2027</v>
      </c>
    </row>
    <row r="887" spans="1:2">
      <c r="A887" s="10" t="s">
        <v>2039</v>
      </c>
      <c r="B887" s="10" t="s">
        <v>2040</v>
      </c>
    </row>
    <row r="888" spans="1:2">
      <c r="A888" t="s">
        <v>2039</v>
      </c>
      <c r="B888" s="10" t="s">
        <v>2041</v>
      </c>
    </row>
    <row r="889" spans="1:2">
      <c r="A889" t="s">
        <v>2039</v>
      </c>
      <c r="B889" s="10" t="s">
        <v>2042</v>
      </c>
    </row>
    <row r="890" spans="1:2">
      <c r="B890" s="10"/>
    </row>
    <row r="891" spans="1:2">
      <c r="B891" s="10"/>
    </row>
    <row r="892" spans="1:2">
      <c r="B892" s="10"/>
    </row>
    <row r="893" spans="1:2">
      <c r="B893" s="10"/>
    </row>
    <row r="894" spans="1:2">
      <c r="B894" s="10"/>
    </row>
    <row r="895" spans="1:2">
      <c r="B895" s="10"/>
    </row>
    <row r="896" spans="1:2">
      <c r="B896" s="10"/>
    </row>
    <row r="897" spans="2:2">
      <c r="B897" s="10"/>
    </row>
    <row r="898" spans="2:2">
      <c r="B898" s="10"/>
    </row>
    <row r="899" spans="2:2">
      <c r="B899" s="10"/>
    </row>
    <row r="900" spans="2:2" ht="15"/>
  </sheetData>
  <dataValidations count="2">
    <dataValidation type="list" allowBlank="1" showInputMessage="1" showErrorMessage="1" sqref="A292:A312 A314:A887 A2:A262" xr:uid="{00000000-0002-0000-0500-000003000000}">
      <formula1>INDIRECT("Rcrdngs[Text]")</formula1>
    </dataValidation>
    <dataValidation type="list" allowBlank="1" showInputMessage="1" showErrorMessage="1" sqref="B1:B1048576" xr:uid="{00000000-0002-0000-0500-000002000000}">
      <formula1>INDIRECT("Sbjcts[Label]")</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6"/>
  <sheetViews>
    <sheetView topLeftCell="A3" workbookViewId="0">
      <selection activeCell="A18" sqref="A18"/>
    </sheetView>
  </sheetViews>
  <sheetFormatPr defaultColWidth="8.7109375" defaultRowHeight="14.45"/>
  <cols>
    <col min="1" max="1" width="32.5703125" customWidth="1"/>
    <col min="2" max="2" width="64.7109375" customWidth="1"/>
  </cols>
  <sheetData>
    <row r="1" spans="1:2">
      <c r="A1" t="s">
        <v>2043</v>
      </c>
      <c r="B1" t="s">
        <v>2044</v>
      </c>
    </row>
    <row r="2" spans="1:2">
      <c r="A2" s="26" t="s">
        <v>1857</v>
      </c>
    </row>
    <row r="3" spans="1:2">
      <c r="A3" s="26" t="s">
        <v>1854</v>
      </c>
    </row>
    <row r="4" spans="1:2">
      <c r="A4" s="26" t="s">
        <v>1826</v>
      </c>
      <c r="B4" t="s">
        <v>2045</v>
      </c>
    </row>
    <row r="5" spans="1:2">
      <c r="A5" s="95" t="s">
        <v>1833</v>
      </c>
      <c r="B5" t="s">
        <v>2046</v>
      </c>
    </row>
    <row r="6" spans="1:2">
      <c r="A6" s="26" t="s">
        <v>1830</v>
      </c>
    </row>
    <row r="7" spans="1:2">
      <c r="A7" s="26" t="s">
        <v>1835</v>
      </c>
      <c r="B7" t="s">
        <v>2047</v>
      </c>
    </row>
    <row r="8" spans="1:2">
      <c r="A8" s="26" t="s">
        <v>1370</v>
      </c>
      <c r="B8" t="s">
        <v>2048</v>
      </c>
    </row>
    <row r="9" spans="1:2">
      <c r="A9" s="26" t="s">
        <v>1828</v>
      </c>
    </row>
    <row r="10" spans="1:2">
      <c r="A10" s="26" t="s">
        <v>1836</v>
      </c>
      <c r="B10" t="s">
        <v>2049</v>
      </c>
    </row>
    <row r="11" spans="1:2">
      <c r="A11" s="26" t="s">
        <v>1829</v>
      </c>
    </row>
    <row r="12" spans="1:2">
      <c r="A12" s="26" t="s">
        <v>1837</v>
      </c>
      <c r="B12" t="s">
        <v>2050</v>
      </c>
    </row>
    <row r="13" spans="1:2">
      <c r="A13" s="26" t="s">
        <v>1823</v>
      </c>
      <c r="B13" t="s">
        <v>2051</v>
      </c>
    </row>
    <row r="14" spans="1:2">
      <c r="A14" s="26" t="s">
        <v>1846</v>
      </c>
    </row>
    <row r="15" spans="1:2">
      <c r="A15" s="26" t="s">
        <v>1827</v>
      </c>
      <c r="B15" t="s">
        <v>2052</v>
      </c>
    </row>
    <row r="16" spans="1:2">
      <c r="A16" s="26" t="s">
        <v>1843</v>
      </c>
    </row>
    <row r="17" spans="1:2">
      <c r="A17" s="26" t="s">
        <v>1834</v>
      </c>
    </row>
    <row r="18" spans="1:2">
      <c r="A18" s="26" t="s">
        <v>1821</v>
      </c>
      <c r="B18" t="s">
        <v>2053</v>
      </c>
    </row>
    <row r="19" spans="1:2">
      <c r="A19" s="26" t="s">
        <v>2054</v>
      </c>
    </row>
    <row r="20" spans="1:2">
      <c r="A20" s="26" t="s">
        <v>1848</v>
      </c>
    </row>
    <row r="21" spans="1:2">
      <c r="A21" s="26" t="s">
        <v>1856</v>
      </c>
    </row>
    <row r="22" spans="1:2">
      <c r="A22" s="26" t="s">
        <v>1855</v>
      </c>
    </row>
    <row r="23" spans="1:2">
      <c r="A23" s="26" t="s">
        <v>1822</v>
      </c>
      <c r="B23" t="s">
        <v>2055</v>
      </c>
    </row>
    <row r="24" spans="1:2">
      <c r="A24" s="26" t="s">
        <v>1845</v>
      </c>
      <c r="B24" t="s">
        <v>2056</v>
      </c>
    </row>
    <row r="25" spans="1:2">
      <c r="A25" s="26" t="s">
        <v>1832</v>
      </c>
    </row>
    <row r="26" spans="1:2">
      <c r="A26" s="26" t="s">
        <v>1825</v>
      </c>
      <c r="B26" t="s">
        <v>2057</v>
      </c>
    </row>
    <row r="27" spans="1:2">
      <c r="A27" s="26" t="s">
        <v>1867</v>
      </c>
    </row>
    <row r="28" spans="1:2">
      <c r="A28" s="26" t="s">
        <v>1858</v>
      </c>
      <c r="B28" t="s">
        <v>2058</v>
      </c>
    </row>
    <row r="29" spans="1:2">
      <c r="A29" s="26" t="s">
        <v>1859</v>
      </c>
      <c r="B29" t="s">
        <v>2059</v>
      </c>
    </row>
    <row r="30" spans="1:2">
      <c r="A30" s="26" t="s">
        <v>1860</v>
      </c>
      <c r="B30" t="s">
        <v>2060</v>
      </c>
    </row>
    <row r="31" spans="1:2">
      <c r="A31" s="26" t="s">
        <v>1842</v>
      </c>
      <c r="B31" t="s">
        <v>2061</v>
      </c>
    </row>
    <row r="32" spans="1:2">
      <c r="A32" s="26" t="s">
        <v>1863</v>
      </c>
    </row>
    <row r="33" spans="1:2">
      <c r="A33" s="26" t="s">
        <v>1824</v>
      </c>
    </row>
    <row r="34" spans="1:2">
      <c r="A34" s="26" t="s">
        <v>1866</v>
      </c>
    </row>
    <row r="35" spans="1:2">
      <c r="A35" s="95" t="s">
        <v>1852</v>
      </c>
    </row>
    <row r="36" spans="1:2">
      <c r="A36" s="26" t="s">
        <v>1831</v>
      </c>
    </row>
    <row r="37" spans="1:2">
      <c r="A37" s="26" t="s">
        <v>1844</v>
      </c>
      <c r="B37" t="s">
        <v>2062</v>
      </c>
    </row>
    <row r="38" spans="1:2">
      <c r="A38" s="26" t="s">
        <v>2063</v>
      </c>
      <c r="B38" t="s">
        <v>2064</v>
      </c>
    </row>
    <row r="39" spans="1:2">
      <c r="A39" s="26" t="s">
        <v>1847</v>
      </c>
      <c r="B39" t="s">
        <v>2065</v>
      </c>
    </row>
    <row r="40" spans="1:2">
      <c r="A40" s="26" t="s">
        <v>1840</v>
      </c>
      <c r="B40" t="s">
        <v>2066</v>
      </c>
    </row>
    <row r="41" spans="1:2">
      <c r="A41" s="26" t="s">
        <v>1851</v>
      </c>
      <c r="B41" t="s">
        <v>2067</v>
      </c>
    </row>
    <row r="42" spans="1:2">
      <c r="A42" s="26" t="s">
        <v>1838</v>
      </c>
    </row>
    <row r="43" spans="1:2">
      <c r="A43" s="26" t="s">
        <v>1849</v>
      </c>
      <c r="B43" t="s">
        <v>2068</v>
      </c>
    </row>
    <row r="44" spans="1:2">
      <c r="A44" s="26" t="s">
        <v>1850</v>
      </c>
      <c r="B44" t="s">
        <v>2069</v>
      </c>
    </row>
    <row r="45" spans="1:2">
      <c r="A45" s="26" t="s">
        <v>1864</v>
      </c>
    </row>
    <row r="46" spans="1:2">
      <c r="A46" s="26" t="s">
        <v>1861</v>
      </c>
    </row>
    <row r="47" spans="1:2">
      <c r="A47" s="26" t="s">
        <v>1862</v>
      </c>
    </row>
    <row r="48" spans="1:2">
      <c r="A48" s="26" t="s">
        <v>1865</v>
      </c>
    </row>
    <row r="49" spans="1:2">
      <c r="A49" s="26" t="s">
        <v>1839</v>
      </c>
      <c r="B49" t="s">
        <v>2070</v>
      </c>
    </row>
    <row r="50" spans="1:2">
      <c r="A50" s="26" t="s">
        <v>1841</v>
      </c>
      <c r="B50" t="s">
        <v>2071</v>
      </c>
    </row>
    <row r="51" spans="1:2">
      <c r="A51" s="26" t="s">
        <v>1869</v>
      </c>
    </row>
    <row r="52" spans="1:2">
      <c r="A52" s="94" t="s">
        <v>2072</v>
      </c>
    </row>
    <row r="53" spans="1:2">
      <c r="A53" s="94" t="s">
        <v>2073</v>
      </c>
      <c r="B53" s="94"/>
    </row>
    <row r="54" spans="1:2">
      <c r="A54" s="94" t="s">
        <v>2074</v>
      </c>
    </row>
    <row r="55" spans="1:2">
      <c r="A55" s="100" t="s">
        <v>2075</v>
      </c>
      <c r="B55" s="101"/>
    </row>
    <row r="56" spans="1:2">
      <c r="A56" s="100"/>
      <c r="B56" s="10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20"/>
  <sheetViews>
    <sheetView topLeftCell="A682" workbookViewId="0">
      <selection activeCell="A703" sqref="A703"/>
    </sheetView>
  </sheetViews>
  <sheetFormatPr defaultColWidth="8.7109375" defaultRowHeight="14.45"/>
  <cols>
    <col min="1" max="1" width="25.140625" bestFit="1" customWidth="1"/>
    <col min="2" max="2" width="25.5703125" bestFit="1" customWidth="1"/>
    <col min="3" max="3" width="14.28515625" bestFit="1" customWidth="1"/>
    <col min="4" max="4" width="10.85546875" bestFit="1" customWidth="1"/>
    <col min="5" max="5" width="10.7109375" bestFit="1" customWidth="1"/>
  </cols>
  <sheetData>
    <row r="1" spans="1:4">
      <c r="A1" t="s">
        <v>1771</v>
      </c>
      <c r="B1" t="s">
        <v>1770</v>
      </c>
      <c r="C1" t="s">
        <v>2076</v>
      </c>
      <c r="D1" t="s">
        <v>2077</v>
      </c>
    </row>
    <row r="2" spans="1:4">
      <c r="A2" t="s">
        <v>2078</v>
      </c>
      <c r="B2" t="s">
        <v>2079</v>
      </c>
      <c r="D2" t="s">
        <v>2080</v>
      </c>
    </row>
    <row r="3" spans="1:4">
      <c r="A3" t="s">
        <v>2081</v>
      </c>
      <c r="B3" t="s">
        <v>2082</v>
      </c>
      <c r="C3" t="s">
        <v>2083</v>
      </c>
      <c r="D3" t="s">
        <v>2080</v>
      </c>
    </row>
    <row r="4" spans="1:4">
      <c r="A4" t="s">
        <v>2084</v>
      </c>
      <c r="B4" t="s">
        <v>2085</v>
      </c>
      <c r="D4" t="s">
        <v>2080</v>
      </c>
    </row>
    <row r="5" spans="1:4">
      <c r="A5" t="s">
        <v>2086</v>
      </c>
      <c r="B5" t="s">
        <v>2087</v>
      </c>
      <c r="D5" t="s">
        <v>2080</v>
      </c>
    </row>
    <row r="6" spans="1:4">
      <c r="A6" t="s">
        <v>2088</v>
      </c>
      <c r="B6" t="s">
        <v>2088</v>
      </c>
      <c r="C6" t="s">
        <v>2089</v>
      </c>
      <c r="D6" t="s">
        <v>2080</v>
      </c>
    </row>
    <row r="7" spans="1:4">
      <c r="A7" t="s">
        <v>2090</v>
      </c>
      <c r="B7" t="s">
        <v>2090</v>
      </c>
      <c r="D7" t="s">
        <v>2080</v>
      </c>
    </row>
    <row r="8" spans="1:4">
      <c r="A8" t="s">
        <v>2091</v>
      </c>
      <c r="B8" t="s">
        <v>2091</v>
      </c>
      <c r="D8" t="s">
        <v>2080</v>
      </c>
    </row>
    <row r="9" spans="1:4">
      <c r="A9" t="s">
        <v>2092</v>
      </c>
      <c r="B9" t="s">
        <v>2092</v>
      </c>
      <c r="C9" t="s">
        <v>2093</v>
      </c>
      <c r="D9" t="s">
        <v>2080</v>
      </c>
    </row>
    <row r="10" spans="1:4">
      <c r="A10" t="s">
        <v>2094</v>
      </c>
      <c r="B10" t="s">
        <v>2094</v>
      </c>
      <c r="C10" t="s">
        <v>2095</v>
      </c>
      <c r="D10" t="s">
        <v>2080</v>
      </c>
    </row>
    <row r="11" spans="1:4">
      <c r="A11" t="s">
        <v>2096</v>
      </c>
      <c r="B11" t="s">
        <v>2097</v>
      </c>
      <c r="D11" t="s">
        <v>2080</v>
      </c>
    </row>
    <row r="12" spans="1:4">
      <c r="A12" t="s">
        <v>2098</v>
      </c>
      <c r="B12" t="s">
        <v>2098</v>
      </c>
      <c r="C12" t="s">
        <v>2099</v>
      </c>
      <c r="D12" t="s">
        <v>2080</v>
      </c>
    </row>
    <row r="13" spans="1:4">
      <c r="A13" t="s">
        <v>2100</v>
      </c>
      <c r="B13" t="s">
        <v>2101</v>
      </c>
      <c r="D13" t="s">
        <v>2080</v>
      </c>
    </row>
    <row r="14" spans="1:4">
      <c r="A14" t="s">
        <v>2102</v>
      </c>
      <c r="B14" t="s">
        <v>2103</v>
      </c>
      <c r="D14" t="s">
        <v>2080</v>
      </c>
    </row>
    <row r="15" spans="1:4">
      <c r="A15" t="s">
        <v>2104</v>
      </c>
      <c r="B15" t="s">
        <v>2105</v>
      </c>
      <c r="C15" t="s">
        <v>2106</v>
      </c>
      <c r="D15" t="s">
        <v>2080</v>
      </c>
    </row>
    <row r="16" spans="1:4">
      <c r="A16" t="s">
        <v>2107</v>
      </c>
      <c r="B16" t="s">
        <v>2108</v>
      </c>
      <c r="D16" t="s">
        <v>2080</v>
      </c>
    </row>
    <row r="17" spans="1:4">
      <c r="A17" t="s">
        <v>2109</v>
      </c>
      <c r="B17" t="s">
        <v>2110</v>
      </c>
      <c r="D17" t="s">
        <v>2080</v>
      </c>
    </row>
    <row r="18" spans="1:4">
      <c r="A18" t="s">
        <v>2111</v>
      </c>
      <c r="B18" t="s">
        <v>2112</v>
      </c>
      <c r="D18" t="s">
        <v>2080</v>
      </c>
    </row>
    <row r="19" spans="1:4">
      <c r="A19" t="s">
        <v>2113</v>
      </c>
      <c r="B19" t="s">
        <v>2113</v>
      </c>
      <c r="C19" t="s">
        <v>2114</v>
      </c>
      <c r="D19" t="s">
        <v>2080</v>
      </c>
    </row>
    <row r="20" spans="1:4">
      <c r="A20" t="s">
        <v>2115</v>
      </c>
      <c r="B20" t="s">
        <v>2116</v>
      </c>
      <c r="D20" t="s">
        <v>2080</v>
      </c>
    </row>
    <row r="21" spans="1:4">
      <c r="A21" t="s">
        <v>2117</v>
      </c>
      <c r="B21" t="s">
        <v>2117</v>
      </c>
      <c r="D21" t="s">
        <v>2080</v>
      </c>
    </row>
    <row r="22" spans="1:4">
      <c r="A22" t="s">
        <v>2118</v>
      </c>
      <c r="B22" t="s">
        <v>2118</v>
      </c>
      <c r="D22" t="s">
        <v>2080</v>
      </c>
    </row>
    <row r="23" spans="1:4">
      <c r="A23" t="s">
        <v>2119</v>
      </c>
      <c r="B23" t="s">
        <v>2119</v>
      </c>
      <c r="C23" t="s">
        <v>2120</v>
      </c>
      <c r="D23" t="s">
        <v>2080</v>
      </c>
    </row>
    <row r="24" spans="1:4">
      <c r="A24" t="s">
        <v>2121</v>
      </c>
      <c r="B24" t="s">
        <v>2121</v>
      </c>
      <c r="D24" t="s">
        <v>2080</v>
      </c>
    </row>
    <row r="25" spans="1:4">
      <c r="A25" t="s">
        <v>2122</v>
      </c>
      <c r="B25" t="s">
        <v>2123</v>
      </c>
      <c r="D25" t="s">
        <v>2080</v>
      </c>
    </row>
    <row r="26" spans="1:4">
      <c r="A26" t="s">
        <v>2124</v>
      </c>
      <c r="B26" t="s">
        <v>2125</v>
      </c>
      <c r="D26" t="s">
        <v>2080</v>
      </c>
    </row>
    <row r="27" spans="1:4">
      <c r="A27" t="s">
        <v>2126</v>
      </c>
      <c r="B27" t="s">
        <v>2127</v>
      </c>
      <c r="D27" t="s">
        <v>2080</v>
      </c>
    </row>
    <row r="28" spans="1:4">
      <c r="A28" t="s">
        <v>2128</v>
      </c>
      <c r="B28" t="s">
        <v>2128</v>
      </c>
      <c r="C28" t="s">
        <v>2129</v>
      </c>
      <c r="D28" t="s">
        <v>2080</v>
      </c>
    </row>
    <row r="29" spans="1:4">
      <c r="A29" t="s">
        <v>2130</v>
      </c>
      <c r="B29" t="s">
        <v>2130</v>
      </c>
      <c r="D29" t="s">
        <v>2080</v>
      </c>
    </row>
    <row r="30" spans="1:4">
      <c r="A30" t="s">
        <v>2131</v>
      </c>
      <c r="B30" t="s">
        <v>2131</v>
      </c>
      <c r="C30" t="s">
        <v>2132</v>
      </c>
      <c r="D30" t="s">
        <v>2080</v>
      </c>
    </row>
    <row r="31" spans="1:4">
      <c r="A31" t="s">
        <v>2133</v>
      </c>
      <c r="B31" t="s">
        <v>2134</v>
      </c>
      <c r="D31" t="s">
        <v>2080</v>
      </c>
    </row>
    <row r="32" spans="1:4">
      <c r="A32" t="s">
        <v>2135</v>
      </c>
      <c r="B32" t="s">
        <v>2135</v>
      </c>
      <c r="D32" t="s">
        <v>2080</v>
      </c>
    </row>
    <row r="33" spans="1:4">
      <c r="A33" t="s">
        <v>2136</v>
      </c>
      <c r="B33" t="s">
        <v>2136</v>
      </c>
      <c r="D33" t="s">
        <v>2080</v>
      </c>
    </row>
    <row r="34" spans="1:4">
      <c r="A34" t="s">
        <v>2137</v>
      </c>
      <c r="B34" t="s">
        <v>2137</v>
      </c>
      <c r="D34" t="s">
        <v>2080</v>
      </c>
    </row>
    <row r="35" spans="1:4">
      <c r="A35" t="s">
        <v>2138</v>
      </c>
      <c r="B35" t="s">
        <v>2138</v>
      </c>
      <c r="D35" t="s">
        <v>2080</v>
      </c>
    </row>
    <row r="36" spans="1:4">
      <c r="A36" t="s">
        <v>2139</v>
      </c>
      <c r="B36" t="s">
        <v>2139</v>
      </c>
      <c r="D36" t="s">
        <v>2080</v>
      </c>
    </row>
    <row r="37" spans="1:4">
      <c r="A37" t="s">
        <v>2140</v>
      </c>
      <c r="B37" t="s">
        <v>2140</v>
      </c>
      <c r="D37" t="s">
        <v>2080</v>
      </c>
    </row>
    <row r="38" spans="1:4">
      <c r="A38" t="s">
        <v>2141</v>
      </c>
      <c r="B38" t="s">
        <v>2141</v>
      </c>
      <c r="D38" t="s">
        <v>2080</v>
      </c>
    </row>
    <row r="39" spans="1:4">
      <c r="A39" t="s">
        <v>2142</v>
      </c>
      <c r="B39" t="s">
        <v>2142</v>
      </c>
      <c r="D39" t="s">
        <v>2080</v>
      </c>
    </row>
    <row r="40" spans="1:4">
      <c r="A40" t="s">
        <v>2143</v>
      </c>
      <c r="B40" t="s">
        <v>2143</v>
      </c>
      <c r="C40" t="s">
        <v>2144</v>
      </c>
      <c r="D40" t="s">
        <v>2080</v>
      </c>
    </row>
    <row r="41" spans="1:4">
      <c r="A41" t="s">
        <v>2145</v>
      </c>
      <c r="B41" t="s">
        <v>2146</v>
      </c>
      <c r="C41" t="s">
        <v>2147</v>
      </c>
      <c r="D41" t="s">
        <v>2080</v>
      </c>
    </row>
    <row r="42" spans="1:4">
      <c r="A42" t="s">
        <v>2148</v>
      </c>
      <c r="B42" t="s">
        <v>2149</v>
      </c>
      <c r="D42" t="s">
        <v>2080</v>
      </c>
    </row>
    <row r="43" spans="1:4">
      <c r="A43" t="s">
        <v>2150</v>
      </c>
      <c r="B43" t="s">
        <v>2150</v>
      </c>
      <c r="D43" t="s">
        <v>2080</v>
      </c>
    </row>
    <row r="44" spans="1:4">
      <c r="A44" t="s">
        <v>2151</v>
      </c>
      <c r="B44" t="s">
        <v>2151</v>
      </c>
      <c r="D44" t="s">
        <v>2080</v>
      </c>
    </row>
    <row r="45" spans="1:4">
      <c r="A45" t="s">
        <v>2152</v>
      </c>
      <c r="B45" t="s">
        <v>2152</v>
      </c>
      <c r="D45" t="s">
        <v>2080</v>
      </c>
    </row>
    <row r="46" spans="1:4">
      <c r="A46" t="s">
        <v>2153</v>
      </c>
      <c r="B46" t="s">
        <v>2153</v>
      </c>
      <c r="D46" t="s">
        <v>2080</v>
      </c>
    </row>
    <row r="47" spans="1:4">
      <c r="A47" t="s">
        <v>2154</v>
      </c>
      <c r="B47" t="s">
        <v>2154</v>
      </c>
      <c r="D47" t="s">
        <v>2080</v>
      </c>
    </row>
    <row r="48" spans="1:4">
      <c r="A48" t="s">
        <v>2155</v>
      </c>
      <c r="B48" t="s">
        <v>2155</v>
      </c>
      <c r="D48" t="s">
        <v>2080</v>
      </c>
    </row>
    <row r="49" spans="1:4">
      <c r="A49" t="s">
        <v>2156</v>
      </c>
      <c r="B49" t="s">
        <v>2157</v>
      </c>
      <c r="D49" t="s">
        <v>2080</v>
      </c>
    </row>
    <row r="50" spans="1:4">
      <c r="A50" t="s">
        <v>2158</v>
      </c>
      <c r="B50" t="s">
        <v>2158</v>
      </c>
      <c r="C50" t="s">
        <v>2159</v>
      </c>
      <c r="D50" t="s">
        <v>2080</v>
      </c>
    </row>
    <row r="51" spans="1:4">
      <c r="A51" t="s">
        <v>2160</v>
      </c>
      <c r="B51" t="s">
        <v>2161</v>
      </c>
      <c r="D51" t="s">
        <v>2080</v>
      </c>
    </row>
    <row r="52" spans="1:4">
      <c r="A52" t="s">
        <v>2162</v>
      </c>
      <c r="B52" t="s">
        <v>2162</v>
      </c>
      <c r="D52" t="s">
        <v>2080</v>
      </c>
    </row>
    <row r="53" spans="1:4">
      <c r="A53" t="s">
        <v>2163</v>
      </c>
      <c r="B53" t="s">
        <v>2164</v>
      </c>
      <c r="D53" t="s">
        <v>2080</v>
      </c>
    </row>
    <row r="54" spans="1:4">
      <c r="A54" t="s">
        <v>2165</v>
      </c>
      <c r="B54" t="s">
        <v>2165</v>
      </c>
      <c r="C54" t="s">
        <v>2166</v>
      </c>
      <c r="D54" t="s">
        <v>2080</v>
      </c>
    </row>
    <row r="55" spans="1:4">
      <c r="A55" t="s">
        <v>2167</v>
      </c>
      <c r="B55" t="s">
        <v>2167</v>
      </c>
      <c r="D55" t="s">
        <v>2080</v>
      </c>
    </row>
    <row r="56" spans="1:4">
      <c r="A56" t="s">
        <v>2168</v>
      </c>
      <c r="B56" t="s">
        <v>2168</v>
      </c>
      <c r="D56" t="s">
        <v>2080</v>
      </c>
    </row>
    <row r="57" spans="1:4">
      <c r="A57" t="s">
        <v>2169</v>
      </c>
      <c r="B57" t="s">
        <v>2169</v>
      </c>
      <c r="D57" t="s">
        <v>2080</v>
      </c>
    </row>
    <row r="58" spans="1:4">
      <c r="A58" t="s">
        <v>2170</v>
      </c>
      <c r="B58" t="s">
        <v>2171</v>
      </c>
      <c r="C58" t="s">
        <v>2172</v>
      </c>
      <c r="D58" t="s">
        <v>2080</v>
      </c>
    </row>
    <row r="59" spans="1:4">
      <c r="A59" t="s">
        <v>2173</v>
      </c>
      <c r="B59" t="s">
        <v>2173</v>
      </c>
      <c r="D59" t="s">
        <v>2080</v>
      </c>
    </row>
    <row r="60" spans="1:4">
      <c r="A60" t="s">
        <v>2174</v>
      </c>
      <c r="B60" t="s">
        <v>2174</v>
      </c>
      <c r="D60" t="s">
        <v>2080</v>
      </c>
    </row>
    <row r="61" spans="1:4">
      <c r="A61" t="s">
        <v>2175</v>
      </c>
      <c r="B61" t="s">
        <v>2175</v>
      </c>
      <c r="C61" t="s">
        <v>2176</v>
      </c>
      <c r="D61" t="s">
        <v>2080</v>
      </c>
    </row>
    <row r="62" spans="1:4">
      <c r="A62" t="s">
        <v>2177</v>
      </c>
      <c r="B62" t="s">
        <v>2178</v>
      </c>
      <c r="D62" t="s">
        <v>2080</v>
      </c>
    </row>
    <row r="63" spans="1:4">
      <c r="A63" t="s">
        <v>2179</v>
      </c>
      <c r="B63" t="s">
        <v>2179</v>
      </c>
      <c r="C63" t="s">
        <v>2180</v>
      </c>
      <c r="D63" t="s">
        <v>2080</v>
      </c>
    </row>
    <row r="64" spans="1:4">
      <c r="A64" t="s">
        <v>2181</v>
      </c>
      <c r="B64" t="s">
        <v>2182</v>
      </c>
      <c r="D64" t="s">
        <v>2080</v>
      </c>
    </row>
    <row r="65" spans="1:4">
      <c r="A65" t="s">
        <v>2183</v>
      </c>
      <c r="B65" t="s">
        <v>2184</v>
      </c>
      <c r="D65" t="s">
        <v>2080</v>
      </c>
    </row>
    <row r="66" spans="1:4">
      <c r="A66" t="s">
        <v>2185</v>
      </c>
      <c r="B66" t="s">
        <v>2185</v>
      </c>
      <c r="D66" t="s">
        <v>2080</v>
      </c>
    </row>
    <row r="67" spans="1:4">
      <c r="A67" t="s">
        <v>2186</v>
      </c>
      <c r="B67" t="s">
        <v>2186</v>
      </c>
      <c r="D67" t="s">
        <v>2080</v>
      </c>
    </row>
    <row r="68" spans="1:4">
      <c r="A68" t="s">
        <v>2187</v>
      </c>
      <c r="B68" t="s">
        <v>2187</v>
      </c>
      <c r="D68" t="s">
        <v>2080</v>
      </c>
    </row>
    <row r="69" spans="1:4">
      <c r="A69" t="s">
        <v>2188</v>
      </c>
      <c r="B69" t="s">
        <v>2189</v>
      </c>
      <c r="C69" t="s">
        <v>2190</v>
      </c>
      <c r="D69" t="s">
        <v>2080</v>
      </c>
    </row>
    <row r="70" spans="1:4">
      <c r="A70" t="s">
        <v>2191</v>
      </c>
      <c r="B70" t="s">
        <v>2191</v>
      </c>
      <c r="D70" t="s">
        <v>2080</v>
      </c>
    </row>
    <row r="71" spans="1:4">
      <c r="A71" t="s">
        <v>2192</v>
      </c>
      <c r="B71" t="s">
        <v>2192</v>
      </c>
      <c r="D71" t="s">
        <v>2080</v>
      </c>
    </row>
    <row r="72" spans="1:4">
      <c r="A72" t="s">
        <v>2193</v>
      </c>
      <c r="B72" t="s">
        <v>2193</v>
      </c>
      <c r="D72" t="s">
        <v>2080</v>
      </c>
    </row>
    <row r="73" spans="1:4">
      <c r="A73" t="s">
        <v>2194</v>
      </c>
      <c r="B73" t="s">
        <v>2194</v>
      </c>
      <c r="C73" t="s">
        <v>2195</v>
      </c>
      <c r="D73" t="s">
        <v>2080</v>
      </c>
    </row>
    <row r="74" spans="1:4">
      <c r="A74" t="s">
        <v>2196</v>
      </c>
      <c r="B74" t="s">
        <v>2196</v>
      </c>
      <c r="C74" t="s">
        <v>2197</v>
      </c>
      <c r="D74" t="s">
        <v>2080</v>
      </c>
    </row>
    <row r="75" spans="1:4">
      <c r="A75" t="s">
        <v>2198</v>
      </c>
      <c r="B75" t="s">
        <v>2198</v>
      </c>
      <c r="D75" t="s">
        <v>2080</v>
      </c>
    </row>
    <row r="76" spans="1:4">
      <c r="A76" t="s">
        <v>2199</v>
      </c>
      <c r="B76" t="s">
        <v>2199</v>
      </c>
      <c r="D76" t="s">
        <v>2080</v>
      </c>
    </row>
    <row r="77" spans="1:4">
      <c r="A77" t="s">
        <v>2200</v>
      </c>
      <c r="B77" t="s">
        <v>2200</v>
      </c>
      <c r="D77" t="s">
        <v>2080</v>
      </c>
    </row>
    <row r="78" spans="1:4">
      <c r="A78" t="s">
        <v>2201</v>
      </c>
      <c r="B78" t="s">
        <v>2202</v>
      </c>
      <c r="D78" t="s">
        <v>2080</v>
      </c>
    </row>
    <row r="79" spans="1:4">
      <c r="A79" t="s">
        <v>2203</v>
      </c>
      <c r="B79" t="s">
        <v>2204</v>
      </c>
      <c r="D79" t="s">
        <v>2080</v>
      </c>
    </row>
    <row r="80" spans="1:4">
      <c r="A80" t="s">
        <v>2205</v>
      </c>
      <c r="B80" t="s">
        <v>2206</v>
      </c>
      <c r="D80" t="s">
        <v>2080</v>
      </c>
    </row>
    <row r="81" spans="1:4">
      <c r="A81" t="s">
        <v>2207</v>
      </c>
      <c r="B81" t="s">
        <v>2208</v>
      </c>
      <c r="D81" t="s">
        <v>2080</v>
      </c>
    </row>
    <row r="82" spans="1:4">
      <c r="A82" t="s">
        <v>2209</v>
      </c>
      <c r="B82" t="s">
        <v>2210</v>
      </c>
      <c r="D82" t="s">
        <v>2080</v>
      </c>
    </row>
    <row r="83" spans="1:4">
      <c r="A83" t="s">
        <v>2211</v>
      </c>
      <c r="B83" t="s">
        <v>2211</v>
      </c>
      <c r="C83" t="s">
        <v>2212</v>
      </c>
      <c r="D83" t="s">
        <v>2080</v>
      </c>
    </row>
    <row r="84" spans="1:4">
      <c r="A84" t="s">
        <v>2213</v>
      </c>
      <c r="B84" t="s">
        <v>2213</v>
      </c>
      <c r="D84" t="s">
        <v>2080</v>
      </c>
    </row>
    <row r="85" spans="1:4">
      <c r="A85" t="s">
        <v>2214</v>
      </c>
      <c r="B85" t="s">
        <v>2214</v>
      </c>
      <c r="D85" t="s">
        <v>2080</v>
      </c>
    </row>
    <row r="86" spans="1:4">
      <c r="A86" t="s">
        <v>2215</v>
      </c>
      <c r="B86" t="s">
        <v>2215</v>
      </c>
      <c r="D86" t="s">
        <v>2080</v>
      </c>
    </row>
    <row r="87" spans="1:4">
      <c r="A87" t="s">
        <v>2216</v>
      </c>
      <c r="B87" t="s">
        <v>2217</v>
      </c>
      <c r="C87" t="s">
        <v>2218</v>
      </c>
      <c r="D87" t="s">
        <v>2080</v>
      </c>
    </row>
    <row r="88" spans="1:4">
      <c r="A88" t="s">
        <v>2219</v>
      </c>
      <c r="B88" t="s">
        <v>2219</v>
      </c>
      <c r="D88" t="s">
        <v>2080</v>
      </c>
    </row>
    <row r="89" spans="1:4">
      <c r="A89" t="s">
        <v>2220</v>
      </c>
      <c r="B89" t="s">
        <v>2220</v>
      </c>
      <c r="D89" t="s">
        <v>2080</v>
      </c>
    </row>
    <row r="90" spans="1:4">
      <c r="A90" t="s">
        <v>2221</v>
      </c>
      <c r="B90" t="s">
        <v>2221</v>
      </c>
      <c r="C90" t="s">
        <v>2222</v>
      </c>
      <c r="D90" t="s">
        <v>2080</v>
      </c>
    </row>
    <row r="91" spans="1:4">
      <c r="A91" t="s">
        <v>2223</v>
      </c>
      <c r="B91" t="s">
        <v>2223</v>
      </c>
      <c r="D91" t="s">
        <v>2080</v>
      </c>
    </row>
    <row r="92" spans="1:4">
      <c r="A92" t="s">
        <v>2224</v>
      </c>
      <c r="B92" t="s">
        <v>2224</v>
      </c>
      <c r="C92" t="s">
        <v>2225</v>
      </c>
      <c r="D92" t="s">
        <v>2080</v>
      </c>
    </row>
    <row r="93" spans="1:4">
      <c r="A93" t="s">
        <v>2226</v>
      </c>
      <c r="B93" t="s">
        <v>2226</v>
      </c>
      <c r="D93" t="s">
        <v>2080</v>
      </c>
    </row>
    <row r="94" spans="1:4">
      <c r="A94" t="s">
        <v>2227</v>
      </c>
      <c r="B94" t="s">
        <v>2228</v>
      </c>
      <c r="D94" t="s">
        <v>2080</v>
      </c>
    </row>
    <row r="95" spans="1:4">
      <c r="A95" t="s">
        <v>2229</v>
      </c>
      <c r="B95" t="s">
        <v>2229</v>
      </c>
      <c r="D95" t="s">
        <v>2080</v>
      </c>
    </row>
    <row r="96" spans="1:4">
      <c r="A96" t="s">
        <v>2230</v>
      </c>
      <c r="B96" t="s">
        <v>2230</v>
      </c>
      <c r="D96" t="s">
        <v>2080</v>
      </c>
    </row>
    <row r="97" spans="1:4">
      <c r="A97" t="s">
        <v>2231</v>
      </c>
      <c r="B97" t="s">
        <v>2232</v>
      </c>
      <c r="D97" t="s">
        <v>2080</v>
      </c>
    </row>
    <row r="98" spans="1:4">
      <c r="A98" t="s">
        <v>2233</v>
      </c>
      <c r="B98" t="s">
        <v>2234</v>
      </c>
      <c r="C98" t="s">
        <v>2235</v>
      </c>
      <c r="D98" t="s">
        <v>2080</v>
      </c>
    </row>
    <row r="99" spans="1:4">
      <c r="A99" t="s">
        <v>2236</v>
      </c>
      <c r="B99" t="s">
        <v>2237</v>
      </c>
      <c r="D99" t="s">
        <v>2080</v>
      </c>
    </row>
    <row r="100" spans="1:4">
      <c r="A100" t="s">
        <v>2238</v>
      </c>
      <c r="B100" t="s">
        <v>2239</v>
      </c>
      <c r="D100" t="s">
        <v>2080</v>
      </c>
    </row>
    <row r="101" spans="1:4">
      <c r="A101" t="s">
        <v>2240</v>
      </c>
      <c r="B101" t="s">
        <v>2240</v>
      </c>
      <c r="C101" t="s">
        <v>2241</v>
      </c>
      <c r="D101" t="s">
        <v>2080</v>
      </c>
    </row>
    <row r="102" spans="1:4">
      <c r="A102" t="s">
        <v>2242</v>
      </c>
      <c r="B102" t="s">
        <v>2242</v>
      </c>
      <c r="D102" t="s">
        <v>2080</v>
      </c>
    </row>
    <row r="103" spans="1:4">
      <c r="A103" t="s">
        <v>2243</v>
      </c>
      <c r="B103" t="s">
        <v>2243</v>
      </c>
      <c r="D103" t="s">
        <v>2080</v>
      </c>
    </row>
    <row r="104" spans="1:4">
      <c r="A104" t="s">
        <v>2244</v>
      </c>
      <c r="B104" t="s">
        <v>2244</v>
      </c>
      <c r="C104" t="s">
        <v>2245</v>
      </c>
      <c r="D104" t="s">
        <v>2080</v>
      </c>
    </row>
    <row r="105" spans="1:4">
      <c r="A105" t="s">
        <v>2246</v>
      </c>
      <c r="B105" t="s">
        <v>2246</v>
      </c>
      <c r="C105" t="s">
        <v>2247</v>
      </c>
      <c r="D105" t="s">
        <v>2080</v>
      </c>
    </row>
    <row r="106" spans="1:4">
      <c r="A106" t="s">
        <v>2248</v>
      </c>
      <c r="B106" t="s">
        <v>2248</v>
      </c>
      <c r="D106" t="s">
        <v>2080</v>
      </c>
    </row>
    <row r="107" spans="1:4">
      <c r="A107" t="s">
        <v>2249</v>
      </c>
      <c r="B107" t="s">
        <v>2249</v>
      </c>
      <c r="D107" t="s">
        <v>2080</v>
      </c>
    </row>
    <row r="108" spans="1:4">
      <c r="A108" t="s">
        <v>2250</v>
      </c>
      <c r="B108" t="s">
        <v>2250</v>
      </c>
      <c r="D108" t="s">
        <v>2080</v>
      </c>
    </row>
    <row r="109" spans="1:4">
      <c r="A109" t="s">
        <v>2251</v>
      </c>
      <c r="B109" t="s">
        <v>2251</v>
      </c>
      <c r="C109" t="s">
        <v>2252</v>
      </c>
      <c r="D109" t="s">
        <v>2080</v>
      </c>
    </row>
    <row r="110" spans="1:4">
      <c r="A110" t="s">
        <v>2253</v>
      </c>
      <c r="B110" t="s">
        <v>2253</v>
      </c>
      <c r="D110" t="s">
        <v>2080</v>
      </c>
    </row>
    <row r="111" spans="1:4">
      <c r="A111" t="s">
        <v>2254</v>
      </c>
      <c r="B111" t="s">
        <v>2255</v>
      </c>
      <c r="D111" t="s">
        <v>2080</v>
      </c>
    </row>
    <row r="112" spans="1:4">
      <c r="A112" t="s">
        <v>2256</v>
      </c>
      <c r="B112" t="s">
        <v>2257</v>
      </c>
      <c r="D112" t="s">
        <v>2080</v>
      </c>
    </row>
    <row r="113" spans="1:4">
      <c r="A113" t="s">
        <v>2258</v>
      </c>
      <c r="B113" t="s">
        <v>2258</v>
      </c>
      <c r="D113" t="s">
        <v>2080</v>
      </c>
    </row>
    <row r="114" spans="1:4">
      <c r="A114" t="s">
        <v>2259</v>
      </c>
      <c r="B114" t="s">
        <v>2259</v>
      </c>
      <c r="D114" t="s">
        <v>2080</v>
      </c>
    </row>
    <row r="115" spans="1:4">
      <c r="A115" t="s">
        <v>2260</v>
      </c>
      <c r="B115" t="s">
        <v>2260</v>
      </c>
      <c r="D115" t="s">
        <v>2080</v>
      </c>
    </row>
    <row r="116" spans="1:4">
      <c r="A116" t="s">
        <v>2261</v>
      </c>
      <c r="B116" t="s">
        <v>2261</v>
      </c>
      <c r="D116" t="s">
        <v>2080</v>
      </c>
    </row>
    <row r="117" spans="1:4">
      <c r="A117" t="s">
        <v>2262</v>
      </c>
      <c r="B117" t="s">
        <v>2263</v>
      </c>
      <c r="C117" t="s">
        <v>2264</v>
      </c>
      <c r="D117" t="s">
        <v>2080</v>
      </c>
    </row>
    <row r="118" spans="1:4">
      <c r="A118" t="s">
        <v>2265</v>
      </c>
      <c r="B118" t="s">
        <v>2266</v>
      </c>
      <c r="C118" t="s">
        <v>2267</v>
      </c>
      <c r="D118" t="s">
        <v>2080</v>
      </c>
    </row>
    <row r="119" spans="1:4">
      <c r="A119" t="s">
        <v>2268</v>
      </c>
      <c r="B119" t="s">
        <v>2269</v>
      </c>
      <c r="C119" t="s">
        <v>2270</v>
      </c>
      <c r="D119" t="s">
        <v>2080</v>
      </c>
    </row>
    <row r="120" spans="1:4">
      <c r="A120" t="s">
        <v>2271</v>
      </c>
      <c r="B120" t="s">
        <v>2272</v>
      </c>
      <c r="C120" t="s">
        <v>2273</v>
      </c>
      <c r="D120" t="s">
        <v>2080</v>
      </c>
    </row>
    <row r="121" spans="1:4">
      <c r="A121" t="s">
        <v>2274</v>
      </c>
      <c r="B121" t="s">
        <v>2275</v>
      </c>
      <c r="C121" t="s">
        <v>2276</v>
      </c>
      <c r="D121" t="s">
        <v>2080</v>
      </c>
    </row>
    <row r="122" spans="1:4">
      <c r="A122" t="s">
        <v>2277</v>
      </c>
      <c r="B122" t="s">
        <v>2278</v>
      </c>
      <c r="C122" t="s">
        <v>2279</v>
      </c>
      <c r="D122" t="s">
        <v>2080</v>
      </c>
    </row>
    <row r="123" spans="1:4">
      <c r="A123" t="s">
        <v>2280</v>
      </c>
      <c r="B123" t="s">
        <v>2281</v>
      </c>
      <c r="C123" t="s">
        <v>2282</v>
      </c>
      <c r="D123" t="s">
        <v>2080</v>
      </c>
    </row>
    <row r="124" spans="1:4">
      <c r="A124" t="s">
        <v>2283</v>
      </c>
      <c r="B124" t="s">
        <v>2284</v>
      </c>
      <c r="C124" t="s">
        <v>2285</v>
      </c>
      <c r="D124" t="s">
        <v>2080</v>
      </c>
    </row>
    <row r="125" spans="1:4">
      <c r="A125" t="s">
        <v>2286</v>
      </c>
      <c r="B125" t="s">
        <v>2287</v>
      </c>
      <c r="C125" t="s">
        <v>2288</v>
      </c>
      <c r="D125" t="s">
        <v>2080</v>
      </c>
    </row>
    <row r="126" spans="1:4">
      <c r="A126" t="s">
        <v>2289</v>
      </c>
      <c r="B126" t="s">
        <v>2290</v>
      </c>
      <c r="C126" t="s">
        <v>2291</v>
      </c>
      <c r="D126" t="s">
        <v>2080</v>
      </c>
    </row>
    <row r="127" spans="1:4">
      <c r="A127" t="s">
        <v>2292</v>
      </c>
      <c r="B127" t="s">
        <v>2293</v>
      </c>
      <c r="C127" t="s">
        <v>2294</v>
      </c>
      <c r="D127" t="s">
        <v>2080</v>
      </c>
    </row>
    <row r="128" spans="1:4">
      <c r="A128" t="s">
        <v>2295</v>
      </c>
      <c r="B128" t="s">
        <v>2296</v>
      </c>
      <c r="C128" t="s">
        <v>2297</v>
      </c>
      <c r="D128" t="s">
        <v>2080</v>
      </c>
    </row>
    <row r="129" spans="1:4">
      <c r="A129" t="s">
        <v>2298</v>
      </c>
      <c r="B129" t="s">
        <v>2299</v>
      </c>
      <c r="C129" t="s">
        <v>2300</v>
      </c>
      <c r="D129" t="s">
        <v>2301</v>
      </c>
    </row>
    <row r="130" spans="1:4">
      <c r="A130" t="s">
        <v>2302</v>
      </c>
      <c r="B130" t="s">
        <v>2303</v>
      </c>
      <c r="C130" t="s">
        <v>2304</v>
      </c>
      <c r="D130" t="s">
        <v>2080</v>
      </c>
    </row>
    <row r="131" spans="1:4">
      <c r="A131" t="s">
        <v>2305</v>
      </c>
      <c r="B131" t="s">
        <v>2306</v>
      </c>
      <c r="C131" t="s">
        <v>2307</v>
      </c>
      <c r="D131" t="s">
        <v>2080</v>
      </c>
    </row>
    <row r="132" spans="1:4">
      <c r="A132" t="s">
        <v>2308</v>
      </c>
      <c r="B132" t="s">
        <v>2309</v>
      </c>
      <c r="C132" t="s">
        <v>2310</v>
      </c>
      <c r="D132" t="s">
        <v>2080</v>
      </c>
    </row>
    <row r="133" spans="1:4">
      <c r="A133" t="s">
        <v>442</v>
      </c>
      <c r="B133" t="s">
        <v>2311</v>
      </c>
      <c r="C133" t="s">
        <v>2312</v>
      </c>
      <c r="D133" t="s">
        <v>2080</v>
      </c>
    </row>
    <row r="134" spans="1:4">
      <c r="A134" t="s">
        <v>2313</v>
      </c>
      <c r="B134" t="s">
        <v>2314</v>
      </c>
      <c r="C134" t="s">
        <v>2315</v>
      </c>
      <c r="D134" t="s">
        <v>2080</v>
      </c>
    </row>
    <row r="135" spans="1:4">
      <c r="A135" t="s">
        <v>2316</v>
      </c>
      <c r="B135" t="s">
        <v>2317</v>
      </c>
      <c r="C135" t="s">
        <v>2318</v>
      </c>
      <c r="D135" t="s">
        <v>2080</v>
      </c>
    </row>
    <row r="136" spans="1:4">
      <c r="A136" t="s">
        <v>2319</v>
      </c>
      <c r="B136" t="s">
        <v>2320</v>
      </c>
      <c r="C136" t="s">
        <v>2321</v>
      </c>
      <c r="D136" t="s">
        <v>2080</v>
      </c>
    </row>
    <row r="137" spans="1:4">
      <c r="A137" t="s">
        <v>2322</v>
      </c>
      <c r="B137" t="s">
        <v>2323</v>
      </c>
      <c r="C137" t="s">
        <v>2324</v>
      </c>
      <c r="D137" t="s">
        <v>2080</v>
      </c>
    </row>
    <row r="138" spans="1:4">
      <c r="A138" t="s">
        <v>2325</v>
      </c>
      <c r="B138" t="s">
        <v>2326</v>
      </c>
      <c r="C138" t="s">
        <v>2327</v>
      </c>
      <c r="D138" t="s">
        <v>2301</v>
      </c>
    </row>
    <row r="139" spans="1:4">
      <c r="A139" t="s">
        <v>2328</v>
      </c>
      <c r="B139" t="s">
        <v>2329</v>
      </c>
      <c r="C139" t="s">
        <v>2330</v>
      </c>
      <c r="D139" t="s">
        <v>2080</v>
      </c>
    </row>
    <row r="140" spans="1:4">
      <c r="A140" t="s">
        <v>2331</v>
      </c>
      <c r="B140" t="s">
        <v>2332</v>
      </c>
      <c r="C140" t="s">
        <v>2333</v>
      </c>
      <c r="D140" t="s">
        <v>2080</v>
      </c>
    </row>
    <row r="141" spans="1:4">
      <c r="A141" t="s">
        <v>2334</v>
      </c>
      <c r="B141" t="s">
        <v>2335</v>
      </c>
      <c r="C141" t="s">
        <v>2336</v>
      </c>
      <c r="D141" t="s">
        <v>2080</v>
      </c>
    </row>
    <row r="142" spans="1:4">
      <c r="A142" t="s">
        <v>2337</v>
      </c>
      <c r="B142" t="s">
        <v>2338</v>
      </c>
      <c r="C142" t="s">
        <v>2339</v>
      </c>
      <c r="D142" t="s">
        <v>2080</v>
      </c>
    </row>
    <row r="143" spans="1:4">
      <c r="A143" t="s">
        <v>2340</v>
      </c>
      <c r="B143" t="s">
        <v>2341</v>
      </c>
      <c r="C143" t="s">
        <v>2342</v>
      </c>
      <c r="D143" t="s">
        <v>2080</v>
      </c>
    </row>
    <row r="144" spans="1:4">
      <c r="A144" t="s">
        <v>2343</v>
      </c>
      <c r="B144" t="s">
        <v>2344</v>
      </c>
      <c r="C144" t="s">
        <v>2345</v>
      </c>
      <c r="D144" t="s">
        <v>2301</v>
      </c>
    </row>
    <row r="145" spans="1:4">
      <c r="A145" t="s">
        <v>2346</v>
      </c>
      <c r="B145" t="s">
        <v>2347</v>
      </c>
      <c r="C145" t="s">
        <v>2348</v>
      </c>
      <c r="D145" t="s">
        <v>2080</v>
      </c>
    </row>
    <row r="146" spans="1:4">
      <c r="A146" t="s">
        <v>2349</v>
      </c>
      <c r="B146" t="s">
        <v>2350</v>
      </c>
      <c r="C146" t="s">
        <v>2351</v>
      </c>
      <c r="D146" t="s">
        <v>2080</v>
      </c>
    </row>
    <row r="147" spans="1:4">
      <c r="A147" t="s">
        <v>2352</v>
      </c>
      <c r="B147" t="s">
        <v>2353</v>
      </c>
      <c r="C147" t="s">
        <v>2354</v>
      </c>
      <c r="D147" t="s">
        <v>2080</v>
      </c>
    </row>
    <row r="148" spans="1:4">
      <c r="A148" t="s">
        <v>2355</v>
      </c>
      <c r="B148" t="s">
        <v>2356</v>
      </c>
      <c r="C148" t="s">
        <v>2357</v>
      </c>
      <c r="D148" t="s">
        <v>2080</v>
      </c>
    </row>
    <row r="149" spans="1:4">
      <c r="A149" t="s">
        <v>2358</v>
      </c>
      <c r="B149" t="s">
        <v>2359</v>
      </c>
      <c r="C149" t="s">
        <v>2360</v>
      </c>
      <c r="D149" t="s">
        <v>2080</v>
      </c>
    </row>
    <row r="150" spans="1:4">
      <c r="A150" t="s">
        <v>2361</v>
      </c>
      <c r="B150" t="s">
        <v>2362</v>
      </c>
      <c r="C150" t="s">
        <v>2363</v>
      </c>
      <c r="D150" t="s">
        <v>2301</v>
      </c>
    </row>
    <row r="151" spans="1:4">
      <c r="A151" t="s">
        <v>2364</v>
      </c>
      <c r="B151" t="s">
        <v>2365</v>
      </c>
      <c r="C151" t="s">
        <v>2366</v>
      </c>
      <c r="D151" t="s">
        <v>2080</v>
      </c>
    </row>
    <row r="152" spans="1:4">
      <c r="A152" t="s">
        <v>2367</v>
      </c>
      <c r="B152" t="s">
        <v>2368</v>
      </c>
      <c r="C152" t="s">
        <v>2369</v>
      </c>
      <c r="D152" t="s">
        <v>2080</v>
      </c>
    </row>
    <row r="153" spans="1:4">
      <c r="A153" t="s">
        <v>2370</v>
      </c>
      <c r="B153" t="s">
        <v>2371</v>
      </c>
      <c r="C153" t="s">
        <v>2372</v>
      </c>
      <c r="D153" t="s">
        <v>2080</v>
      </c>
    </row>
    <row r="154" spans="1:4">
      <c r="A154" t="s">
        <v>2373</v>
      </c>
      <c r="B154" t="s">
        <v>2374</v>
      </c>
      <c r="C154" t="s">
        <v>2375</v>
      </c>
      <c r="D154" t="s">
        <v>2080</v>
      </c>
    </row>
    <row r="155" spans="1:4">
      <c r="A155" t="s">
        <v>2376</v>
      </c>
      <c r="B155" t="s">
        <v>2377</v>
      </c>
      <c r="C155" t="s">
        <v>2378</v>
      </c>
      <c r="D155" t="s">
        <v>2080</v>
      </c>
    </row>
    <row r="156" spans="1:4">
      <c r="A156" t="s">
        <v>2379</v>
      </c>
      <c r="B156" t="s">
        <v>2380</v>
      </c>
      <c r="C156" t="s">
        <v>2381</v>
      </c>
      <c r="D156" t="s">
        <v>2080</v>
      </c>
    </row>
    <row r="157" spans="1:4">
      <c r="A157" t="s">
        <v>2382</v>
      </c>
      <c r="B157" t="s">
        <v>2383</v>
      </c>
      <c r="C157" t="s">
        <v>2384</v>
      </c>
      <c r="D157" t="s">
        <v>2080</v>
      </c>
    </row>
    <row r="158" spans="1:4">
      <c r="A158" t="s">
        <v>2385</v>
      </c>
      <c r="B158" t="s">
        <v>2386</v>
      </c>
      <c r="C158" t="s">
        <v>2387</v>
      </c>
      <c r="D158" t="s">
        <v>2080</v>
      </c>
    </row>
    <row r="159" spans="1:4">
      <c r="A159" t="s">
        <v>2388</v>
      </c>
      <c r="B159" t="s">
        <v>2389</v>
      </c>
      <c r="C159" t="s">
        <v>2390</v>
      </c>
      <c r="D159" t="s">
        <v>2080</v>
      </c>
    </row>
    <row r="160" spans="1:4">
      <c r="A160" t="s">
        <v>2391</v>
      </c>
      <c r="B160" t="s">
        <v>2392</v>
      </c>
      <c r="C160" t="s">
        <v>2393</v>
      </c>
      <c r="D160" t="s">
        <v>2080</v>
      </c>
    </row>
    <row r="161" spans="1:4">
      <c r="A161" t="s">
        <v>2394</v>
      </c>
      <c r="B161" t="s">
        <v>2395</v>
      </c>
      <c r="C161" t="s">
        <v>2396</v>
      </c>
      <c r="D161" t="s">
        <v>2080</v>
      </c>
    </row>
    <row r="162" spans="1:4">
      <c r="A162" t="s">
        <v>2397</v>
      </c>
      <c r="B162" t="s">
        <v>2398</v>
      </c>
      <c r="C162" t="s">
        <v>2399</v>
      </c>
      <c r="D162" t="s">
        <v>2080</v>
      </c>
    </row>
    <row r="163" spans="1:4">
      <c r="A163" t="s">
        <v>2400</v>
      </c>
      <c r="B163" t="s">
        <v>2401</v>
      </c>
      <c r="C163" t="s">
        <v>2402</v>
      </c>
      <c r="D163" t="s">
        <v>2080</v>
      </c>
    </row>
    <row r="164" spans="1:4">
      <c r="A164" t="s">
        <v>2403</v>
      </c>
      <c r="B164" t="s">
        <v>2404</v>
      </c>
      <c r="C164" t="s">
        <v>2405</v>
      </c>
      <c r="D164" t="s">
        <v>2080</v>
      </c>
    </row>
    <row r="165" spans="1:4">
      <c r="A165" t="s">
        <v>2406</v>
      </c>
      <c r="B165" t="s">
        <v>2407</v>
      </c>
      <c r="C165" t="s">
        <v>2408</v>
      </c>
      <c r="D165" t="s">
        <v>2080</v>
      </c>
    </row>
    <row r="166" spans="1:4">
      <c r="A166" t="s">
        <v>2409</v>
      </c>
      <c r="B166" t="s">
        <v>2410</v>
      </c>
      <c r="C166" t="s">
        <v>2411</v>
      </c>
      <c r="D166" t="s">
        <v>2080</v>
      </c>
    </row>
    <row r="167" spans="1:4">
      <c r="A167" t="s">
        <v>2412</v>
      </c>
      <c r="B167" t="s">
        <v>2413</v>
      </c>
      <c r="C167" t="s">
        <v>2414</v>
      </c>
      <c r="D167" t="s">
        <v>2080</v>
      </c>
    </row>
    <row r="168" spans="1:4">
      <c r="A168" t="s">
        <v>2415</v>
      </c>
      <c r="B168" t="s">
        <v>2416</v>
      </c>
      <c r="C168" t="s">
        <v>2417</v>
      </c>
      <c r="D168" t="s">
        <v>2301</v>
      </c>
    </row>
    <row r="169" spans="1:4">
      <c r="A169" t="s">
        <v>2418</v>
      </c>
      <c r="B169" t="s">
        <v>2419</v>
      </c>
      <c r="C169" t="s">
        <v>2420</v>
      </c>
      <c r="D169" t="s">
        <v>2080</v>
      </c>
    </row>
    <row r="170" spans="1:4">
      <c r="A170" t="s">
        <v>2421</v>
      </c>
      <c r="B170" t="s">
        <v>2422</v>
      </c>
      <c r="C170" t="s">
        <v>2423</v>
      </c>
      <c r="D170" t="s">
        <v>2080</v>
      </c>
    </row>
    <row r="171" spans="1:4">
      <c r="A171" t="s">
        <v>2424</v>
      </c>
      <c r="B171" t="s">
        <v>2425</v>
      </c>
      <c r="C171" t="s">
        <v>2426</v>
      </c>
      <c r="D171" t="s">
        <v>2080</v>
      </c>
    </row>
    <row r="172" spans="1:4">
      <c r="A172" t="s">
        <v>2427</v>
      </c>
      <c r="B172" t="s">
        <v>2428</v>
      </c>
      <c r="C172" t="s">
        <v>2429</v>
      </c>
      <c r="D172" t="s">
        <v>2080</v>
      </c>
    </row>
    <row r="173" spans="1:4">
      <c r="A173" t="s">
        <v>2430</v>
      </c>
      <c r="B173" t="s">
        <v>2431</v>
      </c>
      <c r="C173" t="s">
        <v>2432</v>
      </c>
      <c r="D173" t="s">
        <v>2080</v>
      </c>
    </row>
    <row r="174" spans="1:4">
      <c r="A174" t="s">
        <v>2433</v>
      </c>
      <c r="B174" t="s">
        <v>2434</v>
      </c>
      <c r="C174" t="s">
        <v>2435</v>
      </c>
      <c r="D174" t="s">
        <v>2080</v>
      </c>
    </row>
    <row r="175" spans="1:4">
      <c r="A175" t="s">
        <v>2436</v>
      </c>
      <c r="B175" t="s">
        <v>2437</v>
      </c>
      <c r="C175" t="s">
        <v>2438</v>
      </c>
      <c r="D175" t="s">
        <v>2080</v>
      </c>
    </row>
    <row r="176" spans="1:4">
      <c r="A176" t="s">
        <v>2439</v>
      </c>
      <c r="B176" t="s">
        <v>2440</v>
      </c>
      <c r="C176" t="s">
        <v>2441</v>
      </c>
      <c r="D176" t="s">
        <v>2080</v>
      </c>
    </row>
    <row r="177" spans="1:4">
      <c r="A177" t="s">
        <v>2442</v>
      </c>
      <c r="B177" t="s">
        <v>2443</v>
      </c>
      <c r="C177" t="s">
        <v>2444</v>
      </c>
      <c r="D177" t="s">
        <v>2080</v>
      </c>
    </row>
    <row r="178" spans="1:4">
      <c r="A178" t="s">
        <v>2445</v>
      </c>
      <c r="B178" t="s">
        <v>2446</v>
      </c>
      <c r="C178" t="s">
        <v>2447</v>
      </c>
      <c r="D178" t="s">
        <v>2080</v>
      </c>
    </row>
    <row r="179" spans="1:4">
      <c r="A179" t="s">
        <v>2448</v>
      </c>
      <c r="B179" t="s">
        <v>2449</v>
      </c>
      <c r="C179" t="s">
        <v>2450</v>
      </c>
      <c r="D179" t="s">
        <v>2301</v>
      </c>
    </row>
    <row r="180" spans="1:4">
      <c r="A180" t="s">
        <v>2451</v>
      </c>
      <c r="B180" t="s">
        <v>2452</v>
      </c>
      <c r="C180" t="s">
        <v>2453</v>
      </c>
      <c r="D180" t="s">
        <v>2080</v>
      </c>
    </row>
    <row r="181" spans="1:4">
      <c r="A181" t="s">
        <v>2454</v>
      </c>
      <c r="B181" t="s">
        <v>2455</v>
      </c>
      <c r="C181" t="s">
        <v>2456</v>
      </c>
      <c r="D181" t="s">
        <v>2080</v>
      </c>
    </row>
    <row r="182" spans="1:4">
      <c r="A182" t="s">
        <v>2457</v>
      </c>
      <c r="B182" t="s">
        <v>2458</v>
      </c>
      <c r="C182" t="s">
        <v>2459</v>
      </c>
      <c r="D182" t="s">
        <v>2080</v>
      </c>
    </row>
    <row r="183" spans="1:4">
      <c r="A183" t="s">
        <v>2460</v>
      </c>
      <c r="B183" t="s">
        <v>2461</v>
      </c>
      <c r="C183" t="s">
        <v>2462</v>
      </c>
      <c r="D183" t="s">
        <v>2080</v>
      </c>
    </row>
    <row r="184" spans="1:4">
      <c r="A184" t="s">
        <v>2463</v>
      </c>
      <c r="B184" t="s">
        <v>2464</v>
      </c>
      <c r="C184" t="s">
        <v>2465</v>
      </c>
      <c r="D184" t="s">
        <v>2080</v>
      </c>
    </row>
    <row r="185" spans="1:4">
      <c r="A185" t="s">
        <v>2466</v>
      </c>
      <c r="B185" t="s">
        <v>2467</v>
      </c>
      <c r="C185" t="s">
        <v>2468</v>
      </c>
      <c r="D185" t="s">
        <v>2080</v>
      </c>
    </row>
    <row r="186" spans="1:4">
      <c r="A186" t="s">
        <v>2469</v>
      </c>
      <c r="B186" t="s">
        <v>2470</v>
      </c>
      <c r="C186" t="s">
        <v>2471</v>
      </c>
      <c r="D186" t="s">
        <v>2301</v>
      </c>
    </row>
    <row r="187" spans="1:4">
      <c r="A187" t="s">
        <v>2472</v>
      </c>
      <c r="B187" t="s">
        <v>2473</v>
      </c>
      <c r="C187" t="s">
        <v>2474</v>
      </c>
      <c r="D187" t="s">
        <v>2080</v>
      </c>
    </row>
    <row r="188" spans="1:4">
      <c r="A188" t="s">
        <v>520</v>
      </c>
      <c r="B188" t="s">
        <v>2475</v>
      </c>
      <c r="C188" t="s">
        <v>2476</v>
      </c>
      <c r="D188" t="s">
        <v>2080</v>
      </c>
    </row>
    <row r="189" spans="1:4">
      <c r="A189" t="s">
        <v>2477</v>
      </c>
      <c r="B189" t="s">
        <v>2478</v>
      </c>
      <c r="C189" t="s">
        <v>2479</v>
      </c>
      <c r="D189" t="s">
        <v>2080</v>
      </c>
    </row>
    <row r="190" spans="1:4">
      <c r="A190" t="s">
        <v>2480</v>
      </c>
      <c r="B190" t="s">
        <v>2481</v>
      </c>
      <c r="C190" t="s">
        <v>2482</v>
      </c>
      <c r="D190" t="s">
        <v>2301</v>
      </c>
    </row>
    <row r="191" spans="1:4">
      <c r="A191" t="s">
        <v>2483</v>
      </c>
      <c r="B191" t="s">
        <v>2484</v>
      </c>
      <c r="C191" t="s">
        <v>2485</v>
      </c>
      <c r="D191" t="s">
        <v>2080</v>
      </c>
    </row>
    <row r="192" spans="1:4">
      <c r="A192" t="s">
        <v>2486</v>
      </c>
      <c r="B192" t="s">
        <v>2487</v>
      </c>
      <c r="C192" t="s">
        <v>2488</v>
      </c>
      <c r="D192" t="s">
        <v>2080</v>
      </c>
    </row>
    <row r="193" spans="1:4">
      <c r="A193" t="s">
        <v>2489</v>
      </c>
      <c r="B193" t="s">
        <v>2490</v>
      </c>
      <c r="C193" t="s">
        <v>2491</v>
      </c>
      <c r="D193" t="s">
        <v>2080</v>
      </c>
    </row>
    <row r="194" spans="1:4">
      <c r="A194" t="s">
        <v>2492</v>
      </c>
      <c r="B194" t="s">
        <v>2493</v>
      </c>
      <c r="C194" t="s">
        <v>2494</v>
      </c>
      <c r="D194" t="s">
        <v>2080</v>
      </c>
    </row>
    <row r="195" spans="1:4">
      <c r="A195" t="s">
        <v>2495</v>
      </c>
      <c r="B195" t="s">
        <v>2496</v>
      </c>
      <c r="C195" t="s">
        <v>2497</v>
      </c>
      <c r="D195" t="s">
        <v>2080</v>
      </c>
    </row>
    <row r="196" spans="1:4">
      <c r="A196" t="s">
        <v>2498</v>
      </c>
      <c r="B196" t="s">
        <v>2499</v>
      </c>
      <c r="C196" t="s">
        <v>2500</v>
      </c>
      <c r="D196" t="s">
        <v>2080</v>
      </c>
    </row>
    <row r="197" spans="1:4">
      <c r="A197" t="s">
        <v>2501</v>
      </c>
      <c r="B197" t="s">
        <v>2502</v>
      </c>
      <c r="C197" t="s">
        <v>2503</v>
      </c>
      <c r="D197" t="s">
        <v>2080</v>
      </c>
    </row>
    <row r="198" spans="1:4">
      <c r="A198" t="s">
        <v>2504</v>
      </c>
      <c r="B198" t="s">
        <v>2505</v>
      </c>
      <c r="C198" t="s">
        <v>2506</v>
      </c>
      <c r="D198" t="s">
        <v>2080</v>
      </c>
    </row>
    <row r="199" spans="1:4">
      <c r="A199" t="s">
        <v>2507</v>
      </c>
      <c r="B199" t="s">
        <v>2508</v>
      </c>
      <c r="C199" t="s">
        <v>2509</v>
      </c>
      <c r="D199" t="s">
        <v>2301</v>
      </c>
    </row>
    <row r="200" spans="1:4">
      <c r="A200" t="s">
        <v>2510</v>
      </c>
      <c r="B200" t="s">
        <v>2511</v>
      </c>
      <c r="C200" t="s">
        <v>2512</v>
      </c>
      <c r="D200" t="s">
        <v>2301</v>
      </c>
    </row>
    <row r="201" spans="1:4">
      <c r="A201" t="s">
        <v>2513</v>
      </c>
      <c r="B201" t="s">
        <v>2514</v>
      </c>
      <c r="C201" t="s">
        <v>2515</v>
      </c>
      <c r="D201" t="s">
        <v>2080</v>
      </c>
    </row>
    <row r="202" spans="1:4">
      <c r="A202" t="s">
        <v>2516</v>
      </c>
      <c r="B202" t="s">
        <v>2517</v>
      </c>
      <c r="C202" t="s">
        <v>2518</v>
      </c>
      <c r="D202" t="s">
        <v>2080</v>
      </c>
    </row>
    <row r="203" spans="1:4">
      <c r="A203" t="s">
        <v>2519</v>
      </c>
      <c r="B203" t="s">
        <v>2520</v>
      </c>
      <c r="C203" t="s">
        <v>2521</v>
      </c>
      <c r="D203" t="s">
        <v>2080</v>
      </c>
    </row>
    <row r="204" spans="1:4">
      <c r="A204" t="s">
        <v>2522</v>
      </c>
      <c r="B204" t="s">
        <v>2523</v>
      </c>
      <c r="C204" t="s">
        <v>2524</v>
      </c>
      <c r="D204" t="s">
        <v>2301</v>
      </c>
    </row>
    <row r="205" spans="1:4">
      <c r="A205" t="s">
        <v>2525</v>
      </c>
      <c r="B205" t="s">
        <v>2526</v>
      </c>
      <c r="C205" t="s">
        <v>2527</v>
      </c>
      <c r="D205" t="s">
        <v>2080</v>
      </c>
    </row>
    <row r="206" spans="1:4">
      <c r="A206" t="s">
        <v>2528</v>
      </c>
      <c r="B206" t="s">
        <v>2529</v>
      </c>
      <c r="C206" t="s">
        <v>2530</v>
      </c>
      <c r="D206" t="s">
        <v>2080</v>
      </c>
    </row>
    <row r="207" spans="1:4">
      <c r="A207" t="s">
        <v>2531</v>
      </c>
      <c r="B207" t="s">
        <v>2532</v>
      </c>
      <c r="C207" t="s">
        <v>2533</v>
      </c>
      <c r="D207" t="s">
        <v>2080</v>
      </c>
    </row>
    <row r="208" spans="1:4">
      <c r="A208" t="s">
        <v>2534</v>
      </c>
      <c r="B208" t="s">
        <v>2535</v>
      </c>
      <c r="C208" t="s">
        <v>2536</v>
      </c>
      <c r="D208" t="s">
        <v>2080</v>
      </c>
    </row>
    <row r="209" spans="1:4">
      <c r="A209" t="s">
        <v>2537</v>
      </c>
      <c r="B209" t="s">
        <v>2538</v>
      </c>
      <c r="C209" t="s">
        <v>2539</v>
      </c>
      <c r="D209" t="s">
        <v>2301</v>
      </c>
    </row>
    <row r="210" spans="1:4">
      <c r="A210" t="s">
        <v>2540</v>
      </c>
      <c r="B210" t="s">
        <v>2541</v>
      </c>
      <c r="C210" t="s">
        <v>2542</v>
      </c>
      <c r="D210" t="s">
        <v>2080</v>
      </c>
    </row>
    <row r="211" spans="1:4">
      <c r="A211" t="s">
        <v>2543</v>
      </c>
      <c r="B211" t="s">
        <v>2544</v>
      </c>
      <c r="C211" t="s">
        <v>2545</v>
      </c>
      <c r="D211" t="s">
        <v>2080</v>
      </c>
    </row>
    <row r="212" spans="1:4">
      <c r="A212" t="s">
        <v>2546</v>
      </c>
      <c r="B212" t="s">
        <v>2547</v>
      </c>
      <c r="C212" t="s">
        <v>2548</v>
      </c>
      <c r="D212" t="s">
        <v>2080</v>
      </c>
    </row>
    <row r="213" spans="1:4">
      <c r="A213" t="s">
        <v>2549</v>
      </c>
      <c r="B213" t="s">
        <v>2550</v>
      </c>
      <c r="C213" t="s">
        <v>2551</v>
      </c>
      <c r="D213" t="s">
        <v>2080</v>
      </c>
    </row>
    <row r="214" spans="1:4">
      <c r="A214" t="s">
        <v>2552</v>
      </c>
      <c r="B214" t="s">
        <v>2553</v>
      </c>
      <c r="C214" t="s">
        <v>2554</v>
      </c>
      <c r="D214" t="s">
        <v>2301</v>
      </c>
    </row>
    <row r="215" spans="1:4">
      <c r="A215" t="s">
        <v>2555</v>
      </c>
      <c r="B215" t="s">
        <v>2556</v>
      </c>
      <c r="C215" t="s">
        <v>2557</v>
      </c>
      <c r="D215" t="s">
        <v>2080</v>
      </c>
    </row>
    <row r="216" spans="1:4">
      <c r="A216" t="s">
        <v>2558</v>
      </c>
      <c r="B216" t="s">
        <v>2559</v>
      </c>
      <c r="C216" t="s">
        <v>2560</v>
      </c>
      <c r="D216" t="s">
        <v>2080</v>
      </c>
    </row>
    <row r="217" spans="1:4">
      <c r="A217" t="s">
        <v>2561</v>
      </c>
      <c r="B217" t="s">
        <v>2562</v>
      </c>
      <c r="C217" t="s">
        <v>2563</v>
      </c>
      <c r="D217" t="s">
        <v>2301</v>
      </c>
    </row>
    <row r="218" spans="1:4">
      <c r="A218" t="s">
        <v>2564</v>
      </c>
      <c r="B218" t="s">
        <v>2565</v>
      </c>
      <c r="C218" t="s">
        <v>2566</v>
      </c>
      <c r="D218" t="s">
        <v>2080</v>
      </c>
    </row>
    <row r="219" spans="1:4">
      <c r="A219" t="s">
        <v>2567</v>
      </c>
      <c r="B219" t="s">
        <v>2568</v>
      </c>
      <c r="C219" t="s">
        <v>2569</v>
      </c>
      <c r="D219" t="s">
        <v>2080</v>
      </c>
    </row>
    <row r="220" spans="1:4">
      <c r="A220" t="s">
        <v>2570</v>
      </c>
      <c r="B220" t="s">
        <v>2571</v>
      </c>
      <c r="C220" t="s">
        <v>2572</v>
      </c>
      <c r="D220" t="s">
        <v>2080</v>
      </c>
    </row>
    <row r="221" spans="1:4">
      <c r="A221" t="s">
        <v>2573</v>
      </c>
      <c r="B221" t="s">
        <v>2574</v>
      </c>
      <c r="C221" t="s">
        <v>2575</v>
      </c>
      <c r="D221" t="s">
        <v>2080</v>
      </c>
    </row>
    <row r="222" spans="1:4">
      <c r="A222" t="s">
        <v>2576</v>
      </c>
      <c r="B222" t="s">
        <v>2577</v>
      </c>
      <c r="C222" t="s">
        <v>2578</v>
      </c>
      <c r="D222" t="s">
        <v>2080</v>
      </c>
    </row>
    <row r="223" spans="1:4">
      <c r="A223" t="s">
        <v>2579</v>
      </c>
      <c r="B223" t="s">
        <v>2580</v>
      </c>
      <c r="C223" t="s">
        <v>2581</v>
      </c>
      <c r="D223" t="s">
        <v>2080</v>
      </c>
    </row>
    <row r="224" spans="1:4">
      <c r="A224" t="s">
        <v>2582</v>
      </c>
      <c r="B224" t="s">
        <v>2583</v>
      </c>
      <c r="C224" t="s">
        <v>2584</v>
      </c>
      <c r="D224" t="s">
        <v>2080</v>
      </c>
    </row>
    <row r="225" spans="1:4">
      <c r="A225" t="s">
        <v>2585</v>
      </c>
      <c r="B225" t="s">
        <v>2586</v>
      </c>
      <c r="C225" t="s">
        <v>2587</v>
      </c>
      <c r="D225" t="s">
        <v>2080</v>
      </c>
    </row>
    <row r="226" spans="1:4">
      <c r="A226" t="s">
        <v>2588</v>
      </c>
      <c r="B226" t="s">
        <v>2589</v>
      </c>
      <c r="C226" t="s">
        <v>2590</v>
      </c>
      <c r="D226" t="s">
        <v>2080</v>
      </c>
    </row>
    <row r="227" spans="1:4">
      <c r="A227" t="s">
        <v>1078</v>
      </c>
      <c r="B227" t="s">
        <v>2591</v>
      </c>
      <c r="C227" t="s">
        <v>2592</v>
      </c>
      <c r="D227" t="s">
        <v>2080</v>
      </c>
    </row>
    <row r="228" spans="1:4">
      <c r="A228" t="s">
        <v>2593</v>
      </c>
      <c r="B228" t="s">
        <v>2594</v>
      </c>
      <c r="C228" t="s">
        <v>2595</v>
      </c>
      <c r="D228" t="s">
        <v>2080</v>
      </c>
    </row>
    <row r="229" spans="1:4">
      <c r="A229" t="s">
        <v>2596</v>
      </c>
      <c r="B229" t="s">
        <v>2597</v>
      </c>
      <c r="C229" t="s">
        <v>2598</v>
      </c>
      <c r="D229" t="s">
        <v>2080</v>
      </c>
    </row>
    <row r="230" spans="1:4">
      <c r="A230" t="s">
        <v>2599</v>
      </c>
      <c r="B230" t="s">
        <v>2600</v>
      </c>
      <c r="C230" t="s">
        <v>2601</v>
      </c>
      <c r="D230" t="s">
        <v>2301</v>
      </c>
    </row>
    <row r="231" spans="1:4">
      <c r="A231" t="s">
        <v>2602</v>
      </c>
      <c r="B231" t="s">
        <v>2603</v>
      </c>
      <c r="C231" t="s">
        <v>2604</v>
      </c>
      <c r="D231" t="s">
        <v>2080</v>
      </c>
    </row>
    <row r="232" spans="1:4">
      <c r="A232" t="s">
        <v>2605</v>
      </c>
      <c r="B232" t="s">
        <v>2606</v>
      </c>
      <c r="C232" t="s">
        <v>2607</v>
      </c>
      <c r="D232" t="s">
        <v>2080</v>
      </c>
    </row>
    <row r="233" spans="1:4">
      <c r="A233" t="s">
        <v>2608</v>
      </c>
      <c r="B233" t="s">
        <v>2609</v>
      </c>
      <c r="C233" t="s">
        <v>2610</v>
      </c>
      <c r="D233" t="s">
        <v>2080</v>
      </c>
    </row>
    <row r="234" spans="1:4">
      <c r="A234" t="s">
        <v>2611</v>
      </c>
      <c r="B234" t="s">
        <v>2612</v>
      </c>
      <c r="C234" t="s">
        <v>2613</v>
      </c>
      <c r="D234" t="s">
        <v>2301</v>
      </c>
    </row>
    <row r="235" spans="1:4">
      <c r="A235" t="s">
        <v>2614</v>
      </c>
      <c r="B235" t="s">
        <v>2615</v>
      </c>
      <c r="C235" t="s">
        <v>2616</v>
      </c>
      <c r="D235" t="s">
        <v>2080</v>
      </c>
    </row>
    <row r="236" spans="1:4">
      <c r="A236" t="s">
        <v>2617</v>
      </c>
      <c r="B236" t="s">
        <v>2618</v>
      </c>
      <c r="C236" t="s">
        <v>2619</v>
      </c>
      <c r="D236" t="s">
        <v>2080</v>
      </c>
    </row>
    <row r="237" spans="1:4">
      <c r="A237" t="s">
        <v>2620</v>
      </c>
      <c r="B237" t="s">
        <v>2621</v>
      </c>
      <c r="C237" t="s">
        <v>2622</v>
      </c>
      <c r="D237" t="s">
        <v>2080</v>
      </c>
    </row>
    <row r="238" spans="1:4">
      <c r="A238" t="s">
        <v>2623</v>
      </c>
      <c r="B238" t="s">
        <v>2624</v>
      </c>
      <c r="C238" t="s">
        <v>2625</v>
      </c>
      <c r="D238" t="s">
        <v>2080</v>
      </c>
    </row>
    <row r="239" spans="1:4">
      <c r="A239" t="s">
        <v>2626</v>
      </c>
      <c r="B239" t="s">
        <v>2627</v>
      </c>
      <c r="C239" t="s">
        <v>2628</v>
      </c>
      <c r="D239" t="s">
        <v>2080</v>
      </c>
    </row>
    <row r="240" spans="1:4">
      <c r="A240" t="s">
        <v>2629</v>
      </c>
      <c r="B240" t="s">
        <v>2630</v>
      </c>
      <c r="C240" t="s">
        <v>2631</v>
      </c>
      <c r="D240" t="s">
        <v>2080</v>
      </c>
    </row>
    <row r="241" spans="1:4">
      <c r="A241" t="s">
        <v>2632</v>
      </c>
      <c r="B241" t="s">
        <v>2633</v>
      </c>
      <c r="C241" t="s">
        <v>2634</v>
      </c>
      <c r="D241" t="s">
        <v>2080</v>
      </c>
    </row>
    <row r="242" spans="1:4">
      <c r="A242" t="s">
        <v>2635</v>
      </c>
      <c r="B242" t="s">
        <v>2636</v>
      </c>
      <c r="C242" t="s">
        <v>2637</v>
      </c>
      <c r="D242" t="s">
        <v>2301</v>
      </c>
    </row>
    <row r="243" spans="1:4">
      <c r="A243" t="s">
        <v>2111</v>
      </c>
      <c r="B243" t="s">
        <v>2638</v>
      </c>
      <c r="C243" t="s">
        <v>2639</v>
      </c>
      <c r="D243" t="s">
        <v>2080</v>
      </c>
    </row>
    <row r="244" spans="1:4">
      <c r="A244" t="s">
        <v>2640</v>
      </c>
      <c r="B244" t="s">
        <v>2641</v>
      </c>
      <c r="C244" t="s">
        <v>2642</v>
      </c>
      <c r="D244" t="s">
        <v>2080</v>
      </c>
    </row>
    <row r="245" spans="1:4">
      <c r="A245" t="s">
        <v>2643</v>
      </c>
      <c r="B245" t="s">
        <v>2644</v>
      </c>
      <c r="C245" t="s">
        <v>2645</v>
      </c>
      <c r="D245" t="s">
        <v>2080</v>
      </c>
    </row>
    <row r="246" spans="1:4">
      <c r="A246" t="s">
        <v>2646</v>
      </c>
      <c r="B246" t="s">
        <v>2647</v>
      </c>
      <c r="C246" t="s">
        <v>2648</v>
      </c>
      <c r="D246" t="s">
        <v>2080</v>
      </c>
    </row>
    <row r="247" spans="1:4">
      <c r="A247" t="s">
        <v>2649</v>
      </c>
      <c r="B247" t="s">
        <v>2650</v>
      </c>
      <c r="C247" t="s">
        <v>2651</v>
      </c>
      <c r="D247" t="s">
        <v>2080</v>
      </c>
    </row>
    <row r="248" spans="1:4">
      <c r="A248" t="s">
        <v>2652</v>
      </c>
      <c r="B248" t="s">
        <v>2653</v>
      </c>
      <c r="C248" t="s">
        <v>2654</v>
      </c>
      <c r="D248" t="s">
        <v>2080</v>
      </c>
    </row>
    <row r="249" spans="1:4">
      <c r="A249" t="s">
        <v>2655</v>
      </c>
      <c r="B249" t="s">
        <v>2656</v>
      </c>
      <c r="C249" t="s">
        <v>2657</v>
      </c>
      <c r="D249" t="s">
        <v>2080</v>
      </c>
    </row>
    <row r="250" spans="1:4">
      <c r="A250" t="s">
        <v>2658</v>
      </c>
      <c r="B250" t="s">
        <v>2659</v>
      </c>
      <c r="C250" t="s">
        <v>2660</v>
      </c>
      <c r="D250" t="s">
        <v>2080</v>
      </c>
    </row>
    <row r="251" spans="1:4">
      <c r="A251" t="s">
        <v>2661</v>
      </c>
      <c r="B251" t="s">
        <v>2662</v>
      </c>
      <c r="C251" t="s">
        <v>2663</v>
      </c>
      <c r="D251" t="s">
        <v>2080</v>
      </c>
    </row>
    <row r="252" spans="1:4">
      <c r="A252" t="s">
        <v>2664</v>
      </c>
      <c r="B252" t="s">
        <v>2665</v>
      </c>
      <c r="C252" t="s">
        <v>2666</v>
      </c>
      <c r="D252" t="s">
        <v>2080</v>
      </c>
    </row>
    <row r="253" spans="1:4">
      <c r="A253" t="s">
        <v>2667</v>
      </c>
      <c r="B253" t="s">
        <v>2668</v>
      </c>
      <c r="C253" t="s">
        <v>2669</v>
      </c>
      <c r="D253" t="s">
        <v>2301</v>
      </c>
    </row>
    <row r="254" spans="1:4">
      <c r="A254" t="s">
        <v>1485</v>
      </c>
      <c r="B254" t="s">
        <v>2670</v>
      </c>
      <c r="C254" t="s">
        <v>2671</v>
      </c>
      <c r="D254" t="s">
        <v>2080</v>
      </c>
    </row>
    <row r="255" spans="1:4">
      <c r="A255" t="s">
        <v>2672</v>
      </c>
      <c r="B255" t="s">
        <v>2673</v>
      </c>
      <c r="C255" t="s">
        <v>2674</v>
      </c>
      <c r="D255" t="s">
        <v>2301</v>
      </c>
    </row>
    <row r="256" spans="1:4">
      <c r="A256" t="s">
        <v>2675</v>
      </c>
      <c r="B256" t="s">
        <v>2676</v>
      </c>
      <c r="C256" t="s">
        <v>2677</v>
      </c>
      <c r="D256" t="s">
        <v>2080</v>
      </c>
    </row>
    <row r="257" spans="1:4">
      <c r="A257" t="s">
        <v>2678</v>
      </c>
      <c r="B257" t="s">
        <v>2679</v>
      </c>
      <c r="C257" t="s">
        <v>2680</v>
      </c>
      <c r="D257" t="s">
        <v>2301</v>
      </c>
    </row>
    <row r="258" spans="1:4">
      <c r="A258" t="s">
        <v>2681</v>
      </c>
      <c r="B258" t="s">
        <v>2682</v>
      </c>
      <c r="C258" t="s">
        <v>2683</v>
      </c>
      <c r="D258" t="s">
        <v>2301</v>
      </c>
    </row>
    <row r="259" spans="1:4">
      <c r="A259" t="s">
        <v>2684</v>
      </c>
      <c r="B259" t="s">
        <v>2685</v>
      </c>
      <c r="C259" t="s">
        <v>2686</v>
      </c>
      <c r="D259" t="s">
        <v>2080</v>
      </c>
    </row>
    <row r="260" spans="1:4">
      <c r="A260" t="s">
        <v>2687</v>
      </c>
      <c r="B260" t="s">
        <v>2688</v>
      </c>
      <c r="C260" t="s">
        <v>2689</v>
      </c>
      <c r="D260" t="s">
        <v>2301</v>
      </c>
    </row>
    <row r="261" spans="1:4">
      <c r="A261" t="s">
        <v>2690</v>
      </c>
      <c r="B261" t="s">
        <v>2691</v>
      </c>
      <c r="C261" t="s">
        <v>2692</v>
      </c>
      <c r="D261" t="s">
        <v>2080</v>
      </c>
    </row>
    <row r="262" spans="1:4">
      <c r="A262" t="s">
        <v>2693</v>
      </c>
      <c r="B262" t="s">
        <v>2694</v>
      </c>
      <c r="C262" t="s">
        <v>2695</v>
      </c>
      <c r="D262" t="s">
        <v>2080</v>
      </c>
    </row>
    <row r="263" spans="1:4">
      <c r="A263" t="s">
        <v>2696</v>
      </c>
      <c r="B263" t="s">
        <v>2697</v>
      </c>
      <c r="C263" t="s">
        <v>2698</v>
      </c>
      <c r="D263" t="s">
        <v>2080</v>
      </c>
    </row>
    <row r="264" spans="1:4">
      <c r="A264" t="s">
        <v>2699</v>
      </c>
      <c r="B264" t="s">
        <v>2700</v>
      </c>
      <c r="C264" t="s">
        <v>2701</v>
      </c>
      <c r="D264" t="s">
        <v>2080</v>
      </c>
    </row>
    <row r="265" spans="1:4">
      <c r="A265" t="s">
        <v>2702</v>
      </c>
      <c r="B265" t="s">
        <v>2703</v>
      </c>
      <c r="C265" t="s">
        <v>2704</v>
      </c>
      <c r="D265" t="s">
        <v>2301</v>
      </c>
    </row>
    <row r="266" spans="1:4">
      <c r="A266" t="s">
        <v>2705</v>
      </c>
      <c r="B266" t="s">
        <v>2706</v>
      </c>
      <c r="C266" t="s">
        <v>2707</v>
      </c>
      <c r="D266" t="s">
        <v>2301</v>
      </c>
    </row>
    <row r="267" spans="1:4">
      <c r="A267" t="s">
        <v>2708</v>
      </c>
      <c r="B267" t="s">
        <v>2709</v>
      </c>
      <c r="C267" t="s">
        <v>2710</v>
      </c>
      <c r="D267" t="s">
        <v>2080</v>
      </c>
    </row>
    <row r="268" spans="1:4">
      <c r="A268" t="s">
        <v>2711</v>
      </c>
      <c r="B268" t="s">
        <v>2712</v>
      </c>
      <c r="C268" t="s">
        <v>2713</v>
      </c>
      <c r="D268" t="s">
        <v>2301</v>
      </c>
    </row>
    <row r="269" spans="1:4">
      <c r="A269" t="s">
        <v>2714</v>
      </c>
      <c r="B269" t="s">
        <v>2715</v>
      </c>
      <c r="C269" t="s">
        <v>2716</v>
      </c>
      <c r="D269" t="s">
        <v>2301</v>
      </c>
    </row>
    <row r="270" spans="1:4">
      <c r="A270" t="s">
        <v>2717</v>
      </c>
      <c r="B270" t="s">
        <v>2718</v>
      </c>
      <c r="C270" t="s">
        <v>2719</v>
      </c>
      <c r="D270" t="s">
        <v>2301</v>
      </c>
    </row>
    <row r="271" spans="1:4">
      <c r="A271" t="s">
        <v>2720</v>
      </c>
      <c r="B271" t="s">
        <v>2721</v>
      </c>
      <c r="C271" t="s">
        <v>2722</v>
      </c>
      <c r="D271" t="s">
        <v>2301</v>
      </c>
    </row>
    <row r="272" spans="1:4">
      <c r="A272" t="s">
        <v>2723</v>
      </c>
      <c r="B272" t="s">
        <v>2724</v>
      </c>
      <c r="C272" t="s">
        <v>2725</v>
      </c>
      <c r="D272" t="s">
        <v>2080</v>
      </c>
    </row>
    <row r="273" spans="1:4">
      <c r="A273" t="s">
        <v>2726</v>
      </c>
      <c r="B273" t="s">
        <v>2727</v>
      </c>
      <c r="C273" t="s">
        <v>2728</v>
      </c>
      <c r="D273" t="s">
        <v>2301</v>
      </c>
    </row>
    <row r="274" spans="1:4">
      <c r="A274" t="s">
        <v>2729</v>
      </c>
      <c r="B274" t="s">
        <v>2730</v>
      </c>
      <c r="C274" t="s">
        <v>2731</v>
      </c>
      <c r="D274" t="s">
        <v>2080</v>
      </c>
    </row>
    <row r="275" spans="1:4">
      <c r="A275" t="s">
        <v>2732</v>
      </c>
      <c r="B275" t="s">
        <v>2733</v>
      </c>
      <c r="C275" t="s">
        <v>2734</v>
      </c>
      <c r="D275" t="s">
        <v>2080</v>
      </c>
    </row>
    <row r="276" spans="1:4">
      <c r="A276" t="s">
        <v>2735</v>
      </c>
      <c r="B276" t="s">
        <v>2736</v>
      </c>
      <c r="D276" t="s">
        <v>2080</v>
      </c>
    </row>
    <row r="277" spans="1:4">
      <c r="A277" t="s">
        <v>2737</v>
      </c>
      <c r="B277" t="s">
        <v>2738</v>
      </c>
      <c r="C277" t="s">
        <v>2739</v>
      </c>
      <c r="D277" t="s">
        <v>2080</v>
      </c>
    </row>
    <row r="278" spans="1:4">
      <c r="A278" t="s">
        <v>2740</v>
      </c>
      <c r="B278" t="s">
        <v>2741</v>
      </c>
      <c r="C278" t="s">
        <v>2742</v>
      </c>
      <c r="D278" t="s">
        <v>2080</v>
      </c>
    </row>
    <row r="279" spans="1:4">
      <c r="A279" t="s">
        <v>2743</v>
      </c>
      <c r="B279" t="s">
        <v>2744</v>
      </c>
      <c r="C279" t="s">
        <v>2745</v>
      </c>
      <c r="D279" t="s">
        <v>2301</v>
      </c>
    </row>
    <row r="280" spans="1:4">
      <c r="A280" t="s">
        <v>2746</v>
      </c>
      <c r="B280" t="s">
        <v>2747</v>
      </c>
      <c r="C280" t="s">
        <v>2748</v>
      </c>
      <c r="D280" t="s">
        <v>2301</v>
      </c>
    </row>
    <row r="281" spans="1:4">
      <c r="A281" t="s">
        <v>2749</v>
      </c>
      <c r="B281" t="s">
        <v>2750</v>
      </c>
      <c r="C281" t="s">
        <v>2751</v>
      </c>
      <c r="D281" t="s">
        <v>2080</v>
      </c>
    </row>
    <row r="282" spans="1:4">
      <c r="A282" t="s">
        <v>2752</v>
      </c>
      <c r="B282" t="s">
        <v>2753</v>
      </c>
      <c r="C282" t="s">
        <v>2754</v>
      </c>
      <c r="D282" t="s">
        <v>2080</v>
      </c>
    </row>
    <row r="283" spans="1:4">
      <c r="A283" t="s">
        <v>2755</v>
      </c>
      <c r="B283" t="s">
        <v>2756</v>
      </c>
      <c r="C283" t="s">
        <v>2757</v>
      </c>
      <c r="D283" t="s">
        <v>2080</v>
      </c>
    </row>
    <row r="284" spans="1:4">
      <c r="A284" t="s">
        <v>2758</v>
      </c>
      <c r="B284" t="s">
        <v>2759</v>
      </c>
      <c r="C284" t="s">
        <v>2760</v>
      </c>
      <c r="D284" t="s">
        <v>2080</v>
      </c>
    </row>
    <row r="285" spans="1:4">
      <c r="A285" t="s">
        <v>2761</v>
      </c>
      <c r="B285" t="s">
        <v>2762</v>
      </c>
      <c r="C285" t="s">
        <v>2763</v>
      </c>
      <c r="D285" t="s">
        <v>2080</v>
      </c>
    </row>
    <row r="286" spans="1:4">
      <c r="A286" t="s">
        <v>2764</v>
      </c>
      <c r="B286" t="s">
        <v>2765</v>
      </c>
      <c r="C286" t="s">
        <v>2766</v>
      </c>
      <c r="D286" t="s">
        <v>2080</v>
      </c>
    </row>
    <row r="287" spans="1:4">
      <c r="A287" t="s">
        <v>2767</v>
      </c>
      <c r="B287" t="s">
        <v>2768</v>
      </c>
      <c r="C287" t="s">
        <v>2769</v>
      </c>
      <c r="D287" t="s">
        <v>2080</v>
      </c>
    </row>
    <row r="288" spans="1:4">
      <c r="A288" t="s">
        <v>2770</v>
      </c>
      <c r="B288" t="s">
        <v>2771</v>
      </c>
      <c r="C288" t="s">
        <v>2772</v>
      </c>
      <c r="D288" t="s">
        <v>2301</v>
      </c>
    </row>
    <row r="289" spans="1:4">
      <c r="A289" t="s">
        <v>2773</v>
      </c>
      <c r="B289" t="s">
        <v>2774</v>
      </c>
      <c r="C289" t="s">
        <v>2775</v>
      </c>
      <c r="D289" t="s">
        <v>2080</v>
      </c>
    </row>
    <row r="290" spans="1:4">
      <c r="A290" t="s">
        <v>2776</v>
      </c>
      <c r="B290" t="s">
        <v>2777</v>
      </c>
      <c r="C290" t="s">
        <v>2778</v>
      </c>
      <c r="D290" t="s">
        <v>2080</v>
      </c>
    </row>
    <row r="291" spans="1:4">
      <c r="A291" t="s">
        <v>2779</v>
      </c>
      <c r="B291" t="s">
        <v>2780</v>
      </c>
      <c r="C291" t="s">
        <v>2781</v>
      </c>
      <c r="D291" t="s">
        <v>2301</v>
      </c>
    </row>
    <row r="292" spans="1:4">
      <c r="A292" t="s">
        <v>2782</v>
      </c>
      <c r="B292" t="s">
        <v>2783</v>
      </c>
      <c r="C292" t="s">
        <v>2784</v>
      </c>
      <c r="D292" t="s">
        <v>2301</v>
      </c>
    </row>
    <row r="293" spans="1:4">
      <c r="A293" t="s">
        <v>2785</v>
      </c>
      <c r="B293" t="s">
        <v>2786</v>
      </c>
      <c r="C293" t="s">
        <v>2787</v>
      </c>
      <c r="D293" t="s">
        <v>2080</v>
      </c>
    </row>
    <row r="294" spans="1:4">
      <c r="A294" t="s">
        <v>2788</v>
      </c>
      <c r="B294" t="s">
        <v>2789</v>
      </c>
      <c r="C294" t="s">
        <v>2790</v>
      </c>
      <c r="D294" t="s">
        <v>2080</v>
      </c>
    </row>
    <row r="295" spans="1:4">
      <c r="A295" t="s">
        <v>2791</v>
      </c>
      <c r="B295" t="s">
        <v>2792</v>
      </c>
      <c r="C295" t="s">
        <v>2793</v>
      </c>
      <c r="D295" t="s">
        <v>2080</v>
      </c>
    </row>
    <row r="296" spans="1:4">
      <c r="A296" t="s">
        <v>2794</v>
      </c>
      <c r="B296" t="s">
        <v>2795</v>
      </c>
      <c r="C296" t="s">
        <v>2796</v>
      </c>
      <c r="D296" t="s">
        <v>2301</v>
      </c>
    </row>
    <row r="297" spans="1:4">
      <c r="A297" t="s">
        <v>2797</v>
      </c>
      <c r="B297" t="s">
        <v>2798</v>
      </c>
      <c r="C297" t="s">
        <v>2799</v>
      </c>
      <c r="D297" t="s">
        <v>2080</v>
      </c>
    </row>
    <row r="298" spans="1:4">
      <c r="A298" t="s">
        <v>2800</v>
      </c>
      <c r="B298" t="s">
        <v>2801</v>
      </c>
      <c r="C298" t="s">
        <v>2802</v>
      </c>
      <c r="D298" t="s">
        <v>2301</v>
      </c>
    </row>
    <row r="299" spans="1:4">
      <c r="A299" t="s">
        <v>2803</v>
      </c>
      <c r="B299" t="s">
        <v>2804</v>
      </c>
      <c r="D299" t="s">
        <v>2805</v>
      </c>
    </row>
    <row r="300" spans="1:4">
      <c r="A300" t="s">
        <v>2806</v>
      </c>
      <c r="B300" t="s">
        <v>2807</v>
      </c>
      <c r="C300" t="s">
        <v>2808</v>
      </c>
      <c r="D300" t="s">
        <v>2080</v>
      </c>
    </row>
    <row r="301" spans="1:4">
      <c r="A301" t="s">
        <v>2809</v>
      </c>
      <c r="B301" t="s">
        <v>2810</v>
      </c>
      <c r="C301" t="s">
        <v>2811</v>
      </c>
      <c r="D301" t="s">
        <v>2080</v>
      </c>
    </row>
    <row r="302" spans="1:4">
      <c r="A302" t="s">
        <v>2812</v>
      </c>
      <c r="B302" t="s">
        <v>2813</v>
      </c>
      <c r="C302" t="s">
        <v>2814</v>
      </c>
      <c r="D302" t="s">
        <v>2301</v>
      </c>
    </row>
    <row r="303" spans="1:4">
      <c r="A303" t="s">
        <v>2815</v>
      </c>
      <c r="B303" t="s">
        <v>2816</v>
      </c>
      <c r="C303" t="s">
        <v>2817</v>
      </c>
      <c r="D303" t="s">
        <v>2080</v>
      </c>
    </row>
    <row r="304" spans="1:4">
      <c r="A304" t="s">
        <v>835</v>
      </c>
      <c r="B304" t="s">
        <v>2818</v>
      </c>
      <c r="C304" t="s">
        <v>2819</v>
      </c>
      <c r="D304" t="s">
        <v>2080</v>
      </c>
    </row>
    <row r="305" spans="1:4">
      <c r="A305" t="s">
        <v>2820</v>
      </c>
      <c r="B305" t="s">
        <v>2821</v>
      </c>
      <c r="C305" t="s">
        <v>2822</v>
      </c>
      <c r="D305" t="s">
        <v>2080</v>
      </c>
    </row>
    <row r="306" spans="1:4">
      <c r="A306" t="s">
        <v>2823</v>
      </c>
      <c r="B306" t="s">
        <v>2824</v>
      </c>
      <c r="C306" t="s">
        <v>2825</v>
      </c>
      <c r="D306" t="s">
        <v>2080</v>
      </c>
    </row>
    <row r="307" spans="1:4">
      <c r="A307" t="s">
        <v>2826</v>
      </c>
      <c r="B307" t="s">
        <v>2827</v>
      </c>
      <c r="C307" t="s">
        <v>2828</v>
      </c>
      <c r="D307" t="s">
        <v>2080</v>
      </c>
    </row>
    <row r="308" spans="1:4">
      <c r="A308" t="s">
        <v>2829</v>
      </c>
      <c r="B308" t="s">
        <v>2830</v>
      </c>
      <c r="C308" t="s">
        <v>2831</v>
      </c>
      <c r="D308" t="s">
        <v>2080</v>
      </c>
    </row>
    <row r="309" spans="1:4">
      <c r="A309" t="s">
        <v>2832</v>
      </c>
      <c r="B309" t="s">
        <v>2833</v>
      </c>
      <c r="C309" t="s">
        <v>2834</v>
      </c>
      <c r="D309" t="s">
        <v>2080</v>
      </c>
    </row>
    <row r="310" spans="1:4">
      <c r="A310" t="s">
        <v>2835</v>
      </c>
      <c r="B310" t="s">
        <v>2836</v>
      </c>
      <c r="C310" t="s">
        <v>2837</v>
      </c>
      <c r="D310" t="s">
        <v>2301</v>
      </c>
    </row>
    <row r="311" spans="1:4">
      <c r="A311" t="s">
        <v>2838</v>
      </c>
      <c r="B311" t="s">
        <v>2839</v>
      </c>
      <c r="C311" t="s">
        <v>2840</v>
      </c>
      <c r="D311" t="s">
        <v>2080</v>
      </c>
    </row>
    <row r="312" spans="1:4">
      <c r="A312" t="s">
        <v>2841</v>
      </c>
      <c r="B312" t="s">
        <v>2842</v>
      </c>
      <c r="C312" t="s">
        <v>2843</v>
      </c>
      <c r="D312" t="s">
        <v>2080</v>
      </c>
    </row>
    <row r="313" spans="1:4">
      <c r="A313" t="s">
        <v>2844</v>
      </c>
      <c r="B313" t="s">
        <v>2845</v>
      </c>
      <c r="C313" t="s">
        <v>2846</v>
      </c>
      <c r="D313" t="s">
        <v>2080</v>
      </c>
    </row>
    <row r="314" spans="1:4">
      <c r="A314" t="s">
        <v>2847</v>
      </c>
      <c r="B314" t="s">
        <v>2848</v>
      </c>
      <c r="C314" t="s">
        <v>2849</v>
      </c>
      <c r="D314" t="s">
        <v>2301</v>
      </c>
    </row>
    <row r="315" spans="1:4">
      <c r="A315" t="s">
        <v>2850</v>
      </c>
      <c r="B315" t="s">
        <v>2851</v>
      </c>
      <c r="C315" t="s">
        <v>2852</v>
      </c>
      <c r="D315" t="s">
        <v>2080</v>
      </c>
    </row>
    <row r="316" spans="1:4">
      <c r="A316" t="s">
        <v>2853</v>
      </c>
      <c r="B316" t="s">
        <v>2854</v>
      </c>
      <c r="C316" t="s">
        <v>2855</v>
      </c>
      <c r="D316" t="s">
        <v>2080</v>
      </c>
    </row>
    <row r="317" spans="1:4">
      <c r="A317" t="s">
        <v>2856</v>
      </c>
      <c r="B317" t="s">
        <v>2857</v>
      </c>
      <c r="C317" t="s">
        <v>2858</v>
      </c>
      <c r="D317" t="s">
        <v>2080</v>
      </c>
    </row>
    <row r="318" spans="1:4">
      <c r="A318" t="s">
        <v>2859</v>
      </c>
      <c r="B318" t="s">
        <v>2860</v>
      </c>
      <c r="C318" t="s">
        <v>2861</v>
      </c>
      <c r="D318" t="s">
        <v>2301</v>
      </c>
    </row>
    <row r="319" spans="1:4">
      <c r="A319" t="s">
        <v>2862</v>
      </c>
      <c r="B319" t="s">
        <v>2863</v>
      </c>
      <c r="C319" t="s">
        <v>2864</v>
      </c>
      <c r="D319" t="s">
        <v>2080</v>
      </c>
    </row>
    <row r="320" spans="1:4">
      <c r="A320" t="s">
        <v>2865</v>
      </c>
      <c r="B320" t="s">
        <v>2866</v>
      </c>
      <c r="C320" t="s">
        <v>2867</v>
      </c>
      <c r="D320" t="s">
        <v>2301</v>
      </c>
    </row>
    <row r="321" spans="1:4">
      <c r="A321" t="s">
        <v>2868</v>
      </c>
      <c r="B321" t="s">
        <v>2869</v>
      </c>
      <c r="C321" t="s">
        <v>2870</v>
      </c>
      <c r="D321" t="s">
        <v>2080</v>
      </c>
    </row>
    <row r="322" spans="1:4">
      <c r="A322" t="s">
        <v>2871</v>
      </c>
      <c r="B322" t="s">
        <v>2872</v>
      </c>
      <c r="C322" t="s">
        <v>2873</v>
      </c>
      <c r="D322" t="s">
        <v>2080</v>
      </c>
    </row>
    <row r="323" spans="1:4">
      <c r="A323" t="s">
        <v>2874</v>
      </c>
      <c r="B323" t="s">
        <v>2875</v>
      </c>
      <c r="C323" t="s">
        <v>2876</v>
      </c>
      <c r="D323" t="s">
        <v>2080</v>
      </c>
    </row>
    <row r="324" spans="1:4">
      <c r="A324" t="s">
        <v>435</v>
      </c>
      <c r="B324" t="s">
        <v>2877</v>
      </c>
      <c r="C324" t="s">
        <v>2878</v>
      </c>
      <c r="D324" t="s">
        <v>2080</v>
      </c>
    </row>
    <row r="325" spans="1:4">
      <c r="A325" t="s">
        <v>2879</v>
      </c>
      <c r="B325" t="s">
        <v>2880</v>
      </c>
      <c r="C325" t="s">
        <v>2881</v>
      </c>
      <c r="D325" t="s">
        <v>2080</v>
      </c>
    </row>
    <row r="326" spans="1:4">
      <c r="A326" t="s">
        <v>2882</v>
      </c>
      <c r="B326" t="s">
        <v>2883</v>
      </c>
      <c r="C326" t="s">
        <v>2884</v>
      </c>
      <c r="D326" t="s">
        <v>2301</v>
      </c>
    </row>
    <row r="327" spans="1:4">
      <c r="A327" t="s">
        <v>2885</v>
      </c>
      <c r="B327" t="s">
        <v>2886</v>
      </c>
      <c r="C327" t="s">
        <v>2887</v>
      </c>
      <c r="D327" t="s">
        <v>2301</v>
      </c>
    </row>
    <row r="328" spans="1:4">
      <c r="A328" t="s">
        <v>2888</v>
      </c>
      <c r="B328" t="s">
        <v>2889</v>
      </c>
      <c r="C328" t="s">
        <v>2890</v>
      </c>
      <c r="D328" t="s">
        <v>2080</v>
      </c>
    </row>
    <row r="329" spans="1:4">
      <c r="A329" t="s">
        <v>2891</v>
      </c>
      <c r="B329" t="s">
        <v>2892</v>
      </c>
      <c r="C329" t="s">
        <v>2893</v>
      </c>
      <c r="D329" t="s">
        <v>2080</v>
      </c>
    </row>
    <row r="330" spans="1:4">
      <c r="A330" t="s">
        <v>2894</v>
      </c>
      <c r="B330" t="s">
        <v>2895</v>
      </c>
      <c r="C330" t="s">
        <v>2896</v>
      </c>
      <c r="D330" t="s">
        <v>2080</v>
      </c>
    </row>
    <row r="331" spans="1:4">
      <c r="A331" t="s">
        <v>2897</v>
      </c>
      <c r="B331" t="s">
        <v>2898</v>
      </c>
      <c r="C331" t="s">
        <v>2899</v>
      </c>
      <c r="D331" t="s">
        <v>2301</v>
      </c>
    </row>
    <row r="332" spans="1:4">
      <c r="A332" t="s">
        <v>2900</v>
      </c>
      <c r="B332" t="s">
        <v>2901</v>
      </c>
      <c r="C332" t="s">
        <v>2902</v>
      </c>
      <c r="D332" t="s">
        <v>2080</v>
      </c>
    </row>
    <row r="333" spans="1:4">
      <c r="A333" t="s">
        <v>2903</v>
      </c>
      <c r="B333" t="s">
        <v>2904</v>
      </c>
      <c r="C333" t="s">
        <v>2905</v>
      </c>
      <c r="D333" t="s">
        <v>2080</v>
      </c>
    </row>
    <row r="334" spans="1:4">
      <c r="A334" t="s">
        <v>2906</v>
      </c>
      <c r="B334" t="s">
        <v>2907</v>
      </c>
      <c r="C334" t="s">
        <v>2908</v>
      </c>
      <c r="D334" t="s">
        <v>2301</v>
      </c>
    </row>
    <row r="335" spans="1:4">
      <c r="A335" t="s">
        <v>2909</v>
      </c>
      <c r="B335" t="s">
        <v>2910</v>
      </c>
      <c r="C335" t="s">
        <v>2911</v>
      </c>
      <c r="D335" t="s">
        <v>2080</v>
      </c>
    </row>
    <row r="336" spans="1:4">
      <c r="A336" t="s">
        <v>37</v>
      </c>
      <c r="B336" t="s">
        <v>2912</v>
      </c>
      <c r="C336" t="s">
        <v>2913</v>
      </c>
      <c r="D336" t="s">
        <v>2080</v>
      </c>
    </row>
    <row r="337" spans="1:4">
      <c r="A337" t="s">
        <v>289</v>
      </c>
      <c r="B337" t="s">
        <v>2914</v>
      </c>
      <c r="C337" t="s">
        <v>2915</v>
      </c>
      <c r="D337" t="s">
        <v>2301</v>
      </c>
    </row>
    <row r="338" spans="1:4">
      <c r="A338" t="s">
        <v>2916</v>
      </c>
      <c r="B338" t="s">
        <v>2917</v>
      </c>
      <c r="C338" t="s">
        <v>2918</v>
      </c>
      <c r="D338" t="s">
        <v>2080</v>
      </c>
    </row>
    <row r="339" spans="1:4">
      <c r="A339" t="s">
        <v>2919</v>
      </c>
      <c r="B339" t="s">
        <v>2920</v>
      </c>
      <c r="C339" t="s">
        <v>2921</v>
      </c>
      <c r="D339" t="s">
        <v>2080</v>
      </c>
    </row>
    <row r="340" spans="1:4">
      <c r="A340" t="s">
        <v>2922</v>
      </c>
      <c r="B340" t="s">
        <v>2923</v>
      </c>
      <c r="C340" t="s">
        <v>2924</v>
      </c>
      <c r="D340" t="s">
        <v>2080</v>
      </c>
    </row>
    <row r="341" spans="1:4">
      <c r="A341" t="s">
        <v>2925</v>
      </c>
      <c r="B341" t="s">
        <v>2926</v>
      </c>
      <c r="C341" t="s">
        <v>2927</v>
      </c>
      <c r="D341" t="s">
        <v>2080</v>
      </c>
    </row>
    <row r="342" spans="1:4">
      <c r="A342" t="s">
        <v>2928</v>
      </c>
      <c r="B342" t="s">
        <v>2929</v>
      </c>
      <c r="C342" t="s">
        <v>2930</v>
      </c>
      <c r="D342" t="s">
        <v>2080</v>
      </c>
    </row>
    <row r="343" spans="1:4">
      <c r="A343" t="s">
        <v>2931</v>
      </c>
      <c r="B343" t="s">
        <v>2932</v>
      </c>
      <c r="C343" t="s">
        <v>2933</v>
      </c>
      <c r="D343" t="s">
        <v>2080</v>
      </c>
    </row>
    <row r="344" spans="1:4">
      <c r="A344" t="s">
        <v>2934</v>
      </c>
      <c r="B344" t="s">
        <v>2935</v>
      </c>
      <c r="C344" t="s">
        <v>2936</v>
      </c>
      <c r="D344" t="s">
        <v>2080</v>
      </c>
    </row>
    <row r="345" spans="1:4">
      <c r="A345" t="s">
        <v>2937</v>
      </c>
      <c r="B345" t="s">
        <v>2938</v>
      </c>
      <c r="C345" t="s">
        <v>2939</v>
      </c>
      <c r="D345" t="s">
        <v>2080</v>
      </c>
    </row>
    <row r="346" spans="1:4">
      <c r="A346" t="s">
        <v>2940</v>
      </c>
      <c r="B346" t="s">
        <v>2941</v>
      </c>
      <c r="C346" t="s">
        <v>2942</v>
      </c>
      <c r="D346" t="s">
        <v>2080</v>
      </c>
    </row>
    <row r="347" spans="1:4">
      <c r="A347" t="s">
        <v>2943</v>
      </c>
      <c r="B347" t="s">
        <v>2944</v>
      </c>
      <c r="C347" t="s">
        <v>2945</v>
      </c>
      <c r="D347" t="s">
        <v>2080</v>
      </c>
    </row>
    <row r="348" spans="1:4">
      <c r="A348" t="s">
        <v>2946</v>
      </c>
      <c r="B348" t="s">
        <v>2947</v>
      </c>
      <c r="C348" t="s">
        <v>2948</v>
      </c>
      <c r="D348" t="s">
        <v>2301</v>
      </c>
    </row>
    <row r="349" spans="1:4">
      <c r="A349" t="s">
        <v>2949</v>
      </c>
      <c r="B349" t="s">
        <v>2950</v>
      </c>
      <c r="C349" t="s">
        <v>2951</v>
      </c>
      <c r="D349" t="s">
        <v>2080</v>
      </c>
    </row>
    <row r="350" spans="1:4">
      <c r="A350" t="s">
        <v>2952</v>
      </c>
      <c r="B350" t="s">
        <v>2953</v>
      </c>
      <c r="C350" t="s">
        <v>2954</v>
      </c>
      <c r="D350" t="s">
        <v>2080</v>
      </c>
    </row>
    <row r="351" spans="1:4">
      <c r="A351" t="s">
        <v>2955</v>
      </c>
      <c r="B351" t="s">
        <v>2956</v>
      </c>
      <c r="C351" t="s">
        <v>2488</v>
      </c>
      <c r="D351" t="s">
        <v>2301</v>
      </c>
    </row>
    <row r="352" spans="1:4">
      <c r="A352" t="s">
        <v>2957</v>
      </c>
      <c r="B352" t="s">
        <v>2958</v>
      </c>
      <c r="C352" t="s">
        <v>2959</v>
      </c>
      <c r="D352" t="s">
        <v>2301</v>
      </c>
    </row>
    <row r="353" spans="1:4">
      <c r="A353" t="s">
        <v>2960</v>
      </c>
      <c r="B353" t="s">
        <v>2961</v>
      </c>
      <c r="C353" t="s">
        <v>2962</v>
      </c>
      <c r="D353" t="s">
        <v>2080</v>
      </c>
    </row>
    <row r="354" spans="1:4">
      <c r="A354" t="s">
        <v>2963</v>
      </c>
      <c r="B354" t="s">
        <v>2964</v>
      </c>
      <c r="C354" t="s">
        <v>2965</v>
      </c>
      <c r="D354" t="s">
        <v>2301</v>
      </c>
    </row>
    <row r="355" spans="1:4">
      <c r="A355" t="s">
        <v>2966</v>
      </c>
      <c r="B355" t="s">
        <v>2967</v>
      </c>
      <c r="C355" t="s">
        <v>2968</v>
      </c>
      <c r="D355" t="s">
        <v>2080</v>
      </c>
    </row>
    <row r="356" spans="1:4">
      <c r="A356" t="s">
        <v>2969</v>
      </c>
      <c r="B356" t="s">
        <v>2970</v>
      </c>
      <c r="C356" t="s">
        <v>2971</v>
      </c>
      <c r="D356" t="s">
        <v>2301</v>
      </c>
    </row>
    <row r="357" spans="1:4">
      <c r="A357" t="s">
        <v>2972</v>
      </c>
      <c r="B357" t="s">
        <v>2973</v>
      </c>
      <c r="C357" t="s">
        <v>2974</v>
      </c>
      <c r="D357" t="s">
        <v>2080</v>
      </c>
    </row>
    <row r="358" spans="1:4">
      <c r="A358" t="s">
        <v>2975</v>
      </c>
      <c r="B358" t="s">
        <v>2976</v>
      </c>
      <c r="C358" t="s">
        <v>2977</v>
      </c>
      <c r="D358" t="s">
        <v>2080</v>
      </c>
    </row>
    <row r="359" spans="1:4">
      <c r="A359" t="s">
        <v>2978</v>
      </c>
      <c r="B359" t="s">
        <v>2979</v>
      </c>
      <c r="C359" t="s">
        <v>2980</v>
      </c>
      <c r="D359" t="s">
        <v>2080</v>
      </c>
    </row>
    <row r="360" spans="1:4">
      <c r="A360" t="s">
        <v>2981</v>
      </c>
      <c r="B360" t="s">
        <v>2982</v>
      </c>
      <c r="C360" t="s">
        <v>2983</v>
      </c>
      <c r="D360" t="s">
        <v>2080</v>
      </c>
    </row>
    <row r="361" spans="1:4">
      <c r="A361" t="s">
        <v>2984</v>
      </c>
      <c r="B361" t="s">
        <v>2985</v>
      </c>
      <c r="C361" t="s">
        <v>2986</v>
      </c>
      <c r="D361" t="s">
        <v>2080</v>
      </c>
    </row>
    <row r="362" spans="1:4">
      <c r="A362" t="s">
        <v>2987</v>
      </c>
      <c r="B362" t="s">
        <v>2988</v>
      </c>
      <c r="C362" t="s">
        <v>2989</v>
      </c>
      <c r="D362" t="s">
        <v>2080</v>
      </c>
    </row>
    <row r="363" spans="1:4">
      <c r="A363" t="s">
        <v>2990</v>
      </c>
      <c r="B363" t="s">
        <v>2991</v>
      </c>
      <c r="C363" t="s">
        <v>2992</v>
      </c>
      <c r="D363" t="s">
        <v>2080</v>
      </c>
    </row>
    <row r="364" spans="1:4">
      <c r="A364" t="s">
        <v>2993</v>
      </c>
      <c r="B364" t="s">
        <v>2994</v>
      </c>
      <c r="C364" t="s">
        <v>2995</v>
      </c>
      <c r="D364" t="s">
        <v>2080</v>
      </c>
    </row>
    <row r="365" spans="1:4">
      <c r="A365" t="s">
        <v>2996</v>
      </c>
      <c r="B365" t="s">
        <v>2997</v>
      </c>
      <c r="C365" t="s">
        <v>2998</v>
      </c>
      <c r="D365" t="s">
        <v>2301</v>
      </c>
    </row>
    <row r="366" spans="1:4">
      <c r="A366" t="s">
        <v>2999</v>
      </c>
      <c r="B366" t="s">
        <v>3000</v>
      </c>
      <c r="C366" t="s">
        <v>3001</v>
      </c>
      <c r="D366" t="s">
        <v>2080</v>
      </c>
    </row>
    <row r="367" spans="1:4">
      <c r="A367" t="s">
        <v>3002</v>
      </c>
      <c r="B367" t="s">
        <v>3003</v>
      </c>
      <c r="C367" t="s">
        <v>3004</v>
      </c>
      <c r="D367" t="s">
        <v>2080</v>
      </c>
    </row>
    <row r="368" spans="1:4">
      <c r="A368" t="s">
        <v>3005</v>
      </c>
      <c r="B368" t="s">
        <v>3006</v>
      </c>
      <c r="C368" t="s">
        <v>3007</v>
      </c>
      <c r="D368" t="s">
        <v>2080</v>
      </c>
    </row>
    <row r="369" spans="1:4">
      <c r="A369" t="s">
        <v>3008</v>
      </c>
      <c r="B369" t="s">
        <v>3009</v>
      </c>
      <c r="C369" t="s">
        <v>3010</v>
      </c>
      <c r="D369" t="s">
        <v>2080</v>
      </c>
    </row>
    <row r="370" spans="1:4">
      <c r="A370" t="s">
        <v>3011</v>
      </c>
      <c r="B370" t="s">
        <v>3012</v>
      </c>
      <c r="C370" t="s">
        <v>3013</v>
      </c>
      <c r="D370" t="s">
        <v>2080</v>
      </c>
    </row>
    <row r="371" spans="1:4">
      <c r="A371" t="s">
        <v>3014</v>
      </c>
      <c r="B371" t="s">
        <v>3015</v>
      </c>
      <c r="C371" t="s">
        <v>3016</v>
      </c>
      <c r="D371" t="s">
        <v>2080</v>
      </c>
    </row>
    <row r="372" spans="1:4">
      <c r="A372" t="s">
        <v>3017</v>
      </c>
      <c r="B372" t="s">
        <v>3018</v>
      </c>
      <c r="C372" t="s">
        <v>3019</v>
      </c>
      <c r="D372" t="s">
        <v>2080</v>
      </c>
    </row>
    <row r="373" spans="1:4">
      <c r="A373" t="s">
        <v>3020</v>
      </c>
      <c r="B373" t="s">
        <v>3021</v>
      </c>
      <c r="D373" t="s">
        <v>2080</v>
      </c>
    </row>
    <row r="374" spans="1:4">
      <c r="A374" t="s">
        <v>3022</v>
      </c>
      <c r="B374" t="s">
        <v>3023</v>
      </c>
      <c r="C374" t="s">
        <v>3024</v>
      </c>
      <c r="D374" t="s">
        <v>2301</v>
      </c>
    </row>
    <row r="375" spans="1:4">
      <c r="A375" t="s">
        <v>3025</v>
      </c>
      <c r="B375" t="s">
        <v>3026</v>
      </c>
      <c r="C375" t="s">
        <v>3027</v>
      </c>
      <c r="D375" t="s">
        <v>2301</v>
      </c>
    </row>
    <row r="376" spans="1:4">
      <c r="A376" t="s">
        <v>1182</v>
      </c>
      <c r="B376" t="s">
        <v>3028</v>
      </c>
      <c r="C376" t="s">
        <v>3029</v>
      </c>
      <c r="D376" t="s">
        <v>2080</v>
      </c>
    </row>
    <row r="377" spans="1:4">
      <c r="A377" t="s">
        <v>1182</v>
      </c>
      <c r="B377" t="s">
        <v>3030</v>
      </c>
      <c r="C377" t="s">
        <v>3031</v>
      </c>
      <c r="D377" t="s">
        <v>2301</v>
      </c>
    </row>
    <row r="378" spans="1:4">
      <c r="A378" t="s">
        <v>3032</v>
      </c>
      <c r="B378" t="s">
        <v>3033</v>
      </c>
      <c r="C378" t="s">
        <v>3034</v>
      </c>
      <c r="D378" t="s">
        <v>2080</v>
      </c>
    </row>
    <row r="379" spans="1:4">
      <c r="A379" t="s">
        <v>3035</v>
      </c>
      <c r="B379" t="s">
        <v>3036</v>
      </c>
      <c r="C379" t="s">
        <v>3037</v>
      </c>
      <c r="D379" t="s">
        <v>2080</v>
      </c>
    </row>
    <row r="380" spans="1:4">
      <c r="A380" t="s">
        <v>3038</v>
      </c>
      <c r="B380" t="s">
        <v>3039</v>
      </c>
      <c r="C380" t="s">
        <v>3040</v>
      </c>
      <c r="D380" t="s">
        <v>2080</v>
      </c>
    </row>
    <row r="381" spans="1:4">
      <c r="A381" t="s">
        <v>3041</v>
      </c>
      <c r="B381" t="s">
        <v>3042</v>
      </c>
      <c r="C381" t="s">
        <v>3043</v>
      </c>
      <c r="D381" t="s">
        <v>2301</v>
      </c>
    </row>
    <row r="382" spans="1:4">
      <c r="A382" t="s">
        <v>3044</v>
      </c>
      <c r="B382" t="s">
        <v>3045</v>
      </c>
      <c r="C382" t="s">
        <v>3046</v>
      </c>
      <c r="D382" t="s">
        <v>2080</v>
      </c>
    </row>
    <row r="383" spans="1:4">
      <c r="A383" t="s">
        <v>3047</v>
      </c>
      <c r="B383" t="s">
        <v>3048</v>
      </c>
      <c r="C383" t="s">
        <v>3049</v>
      </c>
      <c r="D383" t="s">
        <v>2080</v>
      </c>
    </row>
    <row r="384" spans="1:4">
      <c r="A384" t="s">
        <v>3050</v>
      </c>
      <c r="B384" t="s">
        <v>3051</v>
      </c>
      <c r="C384" t="s">
        <v>3052</v>
      </c>
      <c r="D384" t="s">
        <v>2301</v>
      </c>
    </row>
    <row r="385" spans="1:4">
      <c r="A385" t="s">
        <v>3053</v>
      </c>
      <c r="B385" t="s">
        <v>3054</v>
      </c>
      <c r="C385" t="s">
        <v>3055</v>
      </c>
      <c r="D385" t="s">
        <v>2080</v>
      </c>
    </row>
    <row r="386" spans="1:4">
      <c r="A386" t="s">
        <v>3056</v>
      </c>
      <c r="B386" t="s">
        <v>3057</v>
      </c>
      <c r="C386" t="s">
        <v>3058</v>
      </c>
      <c r="D386" t="s">
        <v>2080</v>
      </c>
    </row>
    <row r="387" spans="1:4">
      <c r="A387" t="s">
        <v>3059</v>
      </c>
      <c r="B387" t="s">
        <v>3060</v>
      </c>
      <c r="C387" t="s">
        <v>3061</v>
      </c>
      <c r="D387" t="s">
        <v>2301</v>
      </c>
    </row>
    <row r="388" spans="1:4">
      <c r="A388" t="s">
        <v>3062</v>
      </c>
      <c r="B388" t="s">
        <v>3063</v>
      </c>
      <c r="C388" t="s">
        <v>3064</v>
      </c>
      <c r="D388" t="s">
        <v>2301</v>
      </c>
    </row>
    <row r="389" spans="1:4">
      <c r="A389" t="s">
        <v>3065</v>
      </c>
      <c r="B389" t="s">
        <v>3066</v>
      </c>
      <c r="C389" t="s">
        <v>3067</v>
      </c>
      <c r="D389" t="s">
        <v>2080</v>
      </c>
    </row>
    <row r="390" spans="1:4">
      <c r="A390" t="s">
        <v>3068</v>
      </c>
      <c r="B390" t="s">
        <v>3069</v>
      </c>
      <c r="C390" t="s">
        <v>3070</v>
      </c>
      <c r="D390" t="s">
        <v>2080</v>
      </c>
    </row>
    <row r="391" spans="1:4">
      <c r="A391" t="s">
        <v>3071</v>
      </c>
      <c r="B391" t="s">
        <v>3072</v>
      </c>
      <c r="C391" t="s">
        <v>3073</v>
      </c>
      <c r="D391" t="s">
        <v>2080</v>
      </c>
    </row>
    <row r="392" spans="1:4">
      <c r="A392" t="s">
        <v>3074</v>
      </c>
      <c r="B392" t="s">
        <v>3075</v>
      </c>
      <c r="C392" t="s">
        <v>3076</v>
      </c>
      <c r="D392" t="s">
        <v>2080</v>
      </c>
    </row>
    <row r="393" spans="1:4">
      <c r="A393" t="s">
        <v>3077</v>
      </c>
      <c r="B393" t="s">
        <v>3078</v>
      </c>
      <c r="C393" t="s">
        <v>3079</v>
      </c>
      <c r="D393" t="s">
        <v>2301</v>
      </c>
    </row>
    <row r="394" spans="1:4">
      <c r="A394" t="s">
        <v>3080</v>
      </c>
      <c r="B394" t="s">
        <v>3081</v>
      </c>
      <c r="C394" t="s">
        <v>3082</v>
      </c>
      <c r="D394" t="s">
        <v>2080</v>
      </c>
    </row>
    <row r="395" spans="1:4">
      <c r="A395" t="s">
        <v>809</v>
      </c>
      <c r="B395" t="s">
        <v>3083</v>
      </c>
      <c r="C395" t="s">
        <v>3084</v>
      </c>
      <c r="D395" t="s">
        <v>2080</v>
      </c>
    </row>
    <row r="396" spans="1:4">
      <c r="A396" t="s">
        <v>3085</v>
      </c>
      <c r="B396" t="s">
        <v>3086</v>
      </c>
      <c r="C396" t="s">
        <v>3087</v>
      </c>
      <c r="D396" t="s">
        <v>2080</v>
      </c>
    </row>
    <row r="397" spans="1:4">
      <c r="A397" t="s">
        <v>3088</v>
      </c>
      <c r="B397" t="s">
        <v>3089</v>
      </c>
      <c r="C397" t="s">
        <v>3090</v>
      </c>
      <c r="D397" t="s">
        <v>2080</v>
      </c>
    </row>
    <row r="398" spans="1:4">
      <c r="A398" t="s">
        <v>3091</v>
      </c>
      <c r="B398" t="s">
        <v>3092</v>
      </c>
      <c r="C398" t="s">
        <v>3093</v>
      </c>
      <c r="D398" t="s">
        <v>2080</v>
      </c>
    </row>
    <row r="399" spans="1:4">
      <c r="A399" t="s">
        <v>3094</v>
      </c>
      <c r="B399" t="s">
        <v>3095</v>
      </c>
      <c r="C399" t="s">
        <v>3096</v>
      </c>
      <c r="D399" t="s">
        <v>2080</v>
      </c>
    </row>
    <row r="400" spans="1:4">
      <c r="A400" t="s">
        <v>3097</v>
      </c>
      <c r="B400" t="s">
        <v>3098</v>
      </c>
      <c r="C400" t="s">
        <v>3099</v>
      </c>
      <c r="D400" t="s">
        <v>2080</v>
      </c>
    </row>
    <row r="401" spans="1:4">
      <c r="A401" t="s">
        <v>3100</v>
      </c>
      <c r="B401" t="s">
        <v>3101</v>
      </c>
      <c r="C401" t="s">
        <v>3102</v>
      </c>
      <c r="D401" t="s">
        <v>2080</v>
      </c>
    </row>
    <row r="402" spans="1:4">
      <c r="A402" t="s">
        <v>1644</v>
      </c>
      <c r="B402" t="s">
        <v>3103</v>
      </c>
      <c r="C402" t="s">
        <v>3104</v>
      </c>
      <c r="D402" t="s">
        <v>2301</v>
      </c>
    </row>
    <row r="403" spans="1:4">
      <c r="A403" t="s">
        <v>3105</v>
      </c>
      <c r="B403" t="s">
        <v>3106</v>
      </c>
      <c r="C403" t="s">
        <v>3107</v>
      </c>
      <c r="D403" t="s">
        <v>2080</v>
      </c>
    </row>
    <row r="404" spans="1:4">
      <c r="A404" t="s">
        <v>3108</v>
      </c>
      <c r="B404" t="s">
        <v>3109</v>
      </c>
      <c r="C404" t="s">
        <v>3110</v>
      </c>
      <c r="D404" t="s">
        <v>2080</v>
      </c>
    </row>
    <row r="405" spans="1:4">
      <c r="A405" t="s">
        <v>3111</v>
      </c>
      <c r="B405" t="s">
        <v>3112</v>
      </c>
      <c r="C405" t="s">
        <v>3113</v>
      </c>
      <c r="D405" t="s">
        <v>2080</v>
      </c>
    </row>
    <row r="406" spans="1:4">
      <c r="A406" t="s">
        <v>3114</v>
      </c>
      <c r="B406" t="s">
        <v>3115</v>
      </c>
      <c r="C406" t="s">
        <v>3116</v>
      </c>
      <c r="D406" t="s">
        <v>2080</v>
      </c>
    </row>
    <row r="407" spans="1:4">
      <c r="A407" t="s">
        <v>3117</v>
      </c>
      <c r="B407" t="s">
        <v>3118</v>
      </c>
      <c r="C407" t="s">
        <v>3119</v>
      </c>
      <c r="D407" t="s">
        <v>2080</v>
      </c>
    </row>
    <row r="408" spans="1:4">
      <c r="A408" t="s">
        <v>3120</v>
      </c>
      <c r="B408" t="s">
        <v>3121</v>
      </c>
      <c r="C408" t="s">
        <v>3122</v>
      </c>
      <c r="D408" t="s">
        <v>2080</v>
      </c>
    </row>
    <row r="409" spans="1:4">
      <c r="A409" t="s">
        <v>3123</v>
      </c>
      <c r="B409" t="s">
        <v>3124</v>
      </c>
      <c r="C409" t="s">
        <v>3125</v>
      </c>
      <c r="D409" t="s">
        <v>2080</v>
      </c>
    </row>
    <row r="410" spans="1:4">
      <c r="A410" t="s">
        <v>3126</v>
      </c>
      <c r="B410" t="s">
        <v>3127</v>
      </c>
      <c r="C410" t="s">
        <v>3128</v>
      </c>
      <c r="D410" t="s">
        <v>2080</v>
      </c>
    </row>
    <row r="411" spans="1:4">
      <c r="A411" t="s">
        <v>3129</v>
      </c>
      <c r="B411" t="s">
        <v>3130</v>
      </c>
      <c r="C411" t="s">
        <v>3131</v>
      </c>
      <c r="D411" t="s">
        <v>2080</v>
      </c>
    </row>
    <row r="412" spans="1:4">
      <c r="A412" t="s">
        <v>3132</v>
      </c>
      <c r="B412" t="s">
        <v>3133</v>
      </c>
      <c r="C412" t="s">
        <v>3134</v>
      </c>
      <c r="D412" t="s">
        <v>2080</v>
      </c>
    </row>
    <row r="413" spans="1:4">
      <c r="A413" t="s">
        <v>3135</v>
      </c>
      <c r="B413" t="s">
        <v>3136</v>
      </c>
      <c r="C413" t="s">
        <v>3137</v>
      </c>
      <c r="D413" t="s">
        <v>2080</v>
      </c>
    </row>
    <row r="414" spans="1:4">
      <c r="A414" t="s">
        <v>3138</v>
      </c>
      <c r="B414" t="s">
        <v>3139</v>
      </c>
      <c r="C414" t="s">
        <v>3140</v>
      </c>
      <c r="D414" t="s">
        <v>2080</v>
      </c>
    </row>
    <row r="415" spans="1:4">
      <c r="A415" t="s">
        <v>3141</v>
      </c>
      <c r="B415" t="s">
        <v>3142</v>
      </c>
      <c r="C415" t="s">
        <v>3143</v>
      </c>
      <c r="D415" t="s">
        <v>2080</v>
      </c>
    </row>
    <row r="416" spans="1:4">
      <c r="A416" t="s">
        <v>3144</v>
      </c>
      <c r="B416" t="s">
        <v>3145</v>
      </c>
      <c r="C416" t="s">
        <v>3146</v>
      </c>
      <c r="D416" t="s">
        <v>2080</v>
      </c>
    </row>
    <row r="417" spans="1:4">
      <c r="A417" t="s">
        <v>3147</v>
      </c>
      <c r="B417" t="s">
        <v>3148</v>
      </c>
      <c r="C417" t="s">
        <v>3149</v>
      </c>
      <c r="D417" t="s">
        <v>2080</v>
      </c>
    </row>
    <row r="418" spans="1:4">
      <c r="A418" t="s">
        <v>3150</v>
      </c>
      <c r="B418" t="s">
        <v>3151</v>
      </c>
      <c r="C418" t="s">
        <v>3152</v>
      </c>
      <c r="D418" t="s">
        <v>2080</v>
      </c>
    </row>
    <row r="419" spans="1:4">
      <c r="A419" t="s">
        <v>1006</v>
      </c>
      <c r="B419" t="s">
        <v>3153</v>
      </c>
      <c r="C419" t="s">
        <v>3154</v>
      </c>
      <c r="D419" t="s">
        <v>2301</v>
      </c>
    </row>
    <row r="420" spans="1:4">
      <c r="A420" t="s">
        <v>3155</v>
      </c>
      <c r="B420" t="s">
        <v>3156</v>
      </c>
      <c r="C420" t="s">
        <v>3157</v>
      </c>
      <c r="D420" t="s">
        <v>2080</v>
      </c>
    </row>
    <row r="421" spans="1:4">
      <c r="A421" t="s">
        <v>3158</v>
      </c>
      <c r="B421" t="s">
        <v>3159</v>
      </c>
      <c r="C421" t="s">
        <v>3160</v>
      </c>
      <c r="D421" t="s">
        <v>2080</v>
      </c>
    </row>
    <row r="422" spans="1:4">
      <c r="A422" t="s">
        <v>3161</v>
      </c>
      <c r="B422" t="s">
        <v>3162</v>
      </c>
      <c r="C422" t="s">
        <v>3163</v>
      </c>
      <c r="D422" t="s">
        <v>2080</v>
      </c>
    </row>
    <row r="423" spans="1:4">
      <c r="A423" t="s">
        <v>3164</v>
      </c>
      <c r="B423" t="s">
        <v>3165</v>
      </c>
      <c r="C423" t="s">
        <v>3166</v>
      </c>
      <c r="D423" t="s">
        <v>2301</v>
      </c>
    </row>
    <row r="424" spans="1:4">
      <c r="A424" t="s">
        <v>62</v>
      </c>
      <c r="B424" t="s">
        <v>3167</v>
      </c>
      <c r="C424" t="s">
        <v>3168</v>
      </c>
      <c r="D424" t="s">
        <v>2301</v>
      </c>
    </row>
    <row r="425" spans="1:4">
      <c r="A425" t="s">
        <v>3169</v>
      </c>
      <c r="B425" t="s">
        <v>3170</v>
      </c>
      <c r="C425" t="s">
        <v>3171</v>
      </c>
      <c r="D425" t="s">
        <v>2080</v>
      </c>
    </row>
    <row r="426" spans="1:4">
      <c r="A426" t="s">
        <v>3172</v>
      </c>
      <c r="B426" t="s">
        <v>3173</v>
      </c>
      <c r="C426" t="s">
        <v>3174</v>
      </c>
      <c r="D426" t="s">
        <v>2080</v>
      </c>
    </row>
    <row r="427" spans="1:4">
      <c r="A427" t="s">
        <v>3175</v>
      </c>
      <c r="B427" t="s">
        <v>3176</v>
      </c>
      <c r="C427" t="s">
        <v>3177</v>
      </c>
      <c r="D427" t="s">
        <v>2080</v>
      </c>
    </row>
    <row r="428" spans="1:4">
      <c r="A428" t="s">
        <v>3178</v>
      </c>
      <c r="B428" t="s">
        <v>3179</v>
      </c>
      <c r="C428" t="s">
        <v>3180</v>
      </c>
      <c r="D428" t="s">
        <v>2080</v>
      </c>
    </row>
    <row r="429" spans="1:4">
      <c r="A429" t="s">
        <v>3181</v>
      </c>
      <c r="B429" t="s">
        <v>3182</v>
      </c>
      <c r="C429" t="s">
        <v>3183</v>
      </c>
      <c r="D429" t="s">
        <v>2301</v>
      </c>
    </row>
    <row r="430" spans="1:4">
      <c r="A430" t="s">
        <v>3184</v>
      </c>
      <c r="B430" t="s">
        <v>3185</v>
      </c>
      <c r="C430" t="s">
        <v>3186</v>
      </c>
      <c r="D430" t="s">
        <v>2080</v>
      </c>
    </row>
    <row r="431" spans="1:4">
      <c r="A431" t="s">
        <v>3187</v>
      </c>
      <c r="B431" t="s">
        <v>3188</v>
      </c>
      <c r="C431" t="s">
        <v>3189</v>
      </c>
      <c r="D431" t="s">
        <v>2080</v>
      </c>
    </row>
    <row r="432" spans="1:4">
      <c r="A432" t="s">
        <v>3190</v>
      </c>
      <c r="B432" t="s">
        <v>3191</v>
      </c>
      <c r="C432" t="s">
        <v>3192</v>
      </c>
      <c r="D432" t="s">
        <v>2080</v>
      </c>
    </row>
    <row r="433" spans="1:4">
      <c r="A433" t="s">
        <v>3193</v>
      </c>
      <c r="B433" t="s">
        <v>3194</v>
      </c>
      <c r="C433" t="s">
        <v>3195</v>
      </c>
      <c r="D433" t="s">
        <v>2080</v>
      </c>
    </row>
    <row r="434" spans="1:4">
      <c r="A434" t="s">
        <v>3196</v>
      </c>
      <c r="B434" t="s">
        <v>3197</v>
      </c>
      <c r="C434" t="s">
        <v>3198</v>
      </c>
      <c r="D434" t="s">
        <v>2080</v>
      </c>
    </row>
    <row r="435" spans="1:4">
      <c r="A435" t="s">
        <v>3199</v>
      </c>
      <c r="B435" t="s">
        <v>3200</v>
      </c>
      <c r="C435" t="s">
        <v>3201</v>
      </c>
      <c r="D435" t="s">
        <v>2080</v>
      </c>
    </row>
    <row r="436" spans="1:4">
      <c r="A436" t="s">
        <v>3202</v>
      </c>
      <c r="B436" t="s">
        <v>3203</v>
      </c>
      <c r="C436" t="s">
        <v>3204</v>
      </c>
      <c r="D436" t="s">
        <v>2080</v>
      </c>
    </row>
    <row r="437" spans="1:4">
      <c r="A437" t="s">
        <v>1463</v>
      </c>
      <c r="B437" t="s">
        <v>3205</v>
      </c>
      <c r="C437" t="s">
        <v>3206</v>
      </c>
      <c r="D437" t="s">
        <v>2301</v>
      </c>
    </row>
    <row r="438" spans="1:4">
      <c r="A438" t="s">
        <v>68</v>
      </c>
      <c r="B438" t="s">
        <v>3207</v>
      </c>
      <c r="C438" t="s">
        <v>3208</v>
      </c>
      <c r="D438" t="s">
        <v>2080</v>
      </c>
    </row>
    <row r="439" spans="1:4">
      <c r="A439" t="s">
        <v>3209</v>
      </c>
      <c r="B439" t="s">
        <v>3210</v>
      </c>
      <c r="C439" t="s">
        <v>3211</v>
      </c>
      <c r="D439" t="s">
        <v>2080</v>
      </c>
    </row>
    <row r="440" spans="1:4">
      <c r="A440" t="s">
        <v>3212</v>
      </c>
      <c r="B440" t="s">
        <v>3213</v>
      </c>
      <c r="C440" t="s">
        <v>3214</v>
      </c>
      <c r="D440" t="s">
        <v>2080</v>
      </c>
    </row>
    <row r="441" spans="1:4">
      <c r="A441" t="s">
        <v>1779</v>
      </c>
      <c r="B441" t="s">
        <v>3215</v>
      </c>
      <c r="C441" t="s">
        <v>3216</v>
      </c>
      <c r="D441" t="s">
        <v>2301</v>
      </c>
    </row>
    <row r="442" spans="1:4">
      <c r="A442" t="s">
        <v>3217</v>
      </c>
      <c r="B442" t="s">
        <v>3218</v>
      </c>
      <c r="C442" t="s">
        <v>3219</v>
      </c>
      <c r="D442" t="s">
        <v>2805</v>
      </c>
    </row>
    <row r="443" spans="1:4">
      <c r="A443" t="s">
        <v>3220</v>
      </c>
      <c r="B443" t="s">
        <v>3221</v>
      </c>
      <c r="C443" t="s">
        <v>3222</v>
      </c>
      <c r="D443" t="s">
        <v>2301</v>
      </c>
    </row>
    <row r="444" spans="1:4">
      <c r="A444" t="s">
        <v>3223</v>
      </c>
      <c r="B444" t="s">
        <v>3224</v>
      </c>
      <c r="C444" t="s">
        <v>3225</v>
      </c>
      <c r="D444" t="s">
        <v>2080</v>
      </c>
    </row>
    <row r="445" spans="1:4">
      <c r="A445" t="s">
        <v>3226</v>
      </c>
      <c r="B445" t="s">
        <v>3227</v>
      </c>
      <c r="C445" t="s">
        <v>3228</v>
      </c>
      <c r="D445" t="s">
        <v>2080</v>
      </c>
    </row>
    <row r="446" spans="1:4">
      <c r="A446" t="s">
        <v>3229</v>
      </c>
      <c r="B446" t="s">
        <v>3230</v>
      </c>
      <c r="C446" t="s">
        <v>3231</v>
      </c>
      <c r="D446" t="s">
        <v>2080</v>
      </c>
    </row>
    <row r="447" spans="1:4">
      <c r="A447" t="s">
        <v>3232</v>
      </c>
      <c r="B447" t="s">
        <v>3233</v>
      </c>
      <c r="C447" t="s">
        <v>3234</v>
      </c>
      <c r="D447" t="s">
        <v>2301</v>
      </c>
    </row>
    <row r="448" spans="1:4">
      <c r="A448" t="s">
        <v>3235</v>
      </c>
      <c r="B448" t="s">
        <v>3236</v>
      </c>
      <c r="C448" t="s">
        <v>3237</v>
      </c>
      <c r="D448" t="s">
        <v>2080</v>
      </c>
    </row>
    <row r="449" spans="1:4">
      <c r="A449" t="s">
        <v>3238</v>
      </c>
      <c r="B449" t="s">
        <v>3239</v>
      </c>
      <c r="D449" t="s">
        <v>2805</v>
      </c>
    </row>
    <row r="450" spans="1:4">
      <c r="A450" t="s">
        <v>3240</v>
      </c>
      <c r="B450" t="s">
        <v>3241</v>
      </c>
      <c r="C450" t="s">
        <v>3242</v>
      </c>
      <c r="D450" t="s">
        <v>2080</v>
      </c>
    </row>
    <row r="451" spans="1:4">
      <c r="A451" t="s">
        <v>3243</v>
      </c>
      <c r="B451" t="s">
        <v>3244</v>
      </c>
      <c r="C451" t="s">
        <v>3245</v>
      </c>
      <c r="D451" t="s">
        <v>2080</v>
      </c>
    </row>
    <row r="452" spans="1:4">
      <c r="A452" t="s">
        <v>3246</v>
      </c>
      <c r="B452" t="s">
        <v>3247</v>
      </c>
      <c r="C452" t="s">
        <v>3248</v>
      </c>
      <c r="D452" t="s">
        <v>2080</v>
      </c>
    </row>
    <row r="453" spans="1:4">
      <c r="A453" t="s">
        <v>3249</v>
      </c>
      <c r="B453" t="s">
        <v>3250</v>
      </c>
      <c r="C453" t="s">
        <v>3251</v>
      </c>
      <c r="D453" t="s">
        <v>2080</v>
      </c>
    </row>
    <row r="454" spans="1:4">
      <c r="A454" t="s">
        <v>3252</v>
      </c>
      <c r="B454" t="s">
        <v>3253</v>
      </c>
      <c r="C454" t="s">
        <v>3254</v>
      </c>
      <c r="D454" t="s">
        <v>2080</v>
      </c>
    </row>
    <row r="455" spans="1:4">
      <c r="A455" t="s">
        <v>2192</v>
      </c>
      <c r="B455" t="s">
        <v>3255</v>
      </c>
      <c r="C455" t="s">
        <v>3256</v>
      </c>
      <c r="D455" t="s">
        <v>2080</v>
      </c>
    </row>
    <row r="456" spans="1:4">
      <c r="A456" t="s">
        <v>3257</v>
      </c>
      <c r="B456" t="s">
        <v>3258</v>
      </c>
      <c r="C456" t="s">
        <v>3259</v>
      </c>
      <c r="D456" t="s">
        <v>2080</v>
      </c>
    </row>
    <row r="457" spans="1:4">
      <c r="A457" t="s">
        <v>3260</v>
      </c>
      <c r="B457" t="s">
        <v>3261</v>
      </c>
      <c r="C457" t="s">
        <v>3262</v>
      </c>
      <c r="D457" t="s">
        <v>2301</v>
      </c>
    </row>
    <row r="458" spans="1:4">
      <c r="A458" t="s">
        <v>3263</v>
      </c>
      <c r="B458" t="s">
        <v>3264</v>
      </c>
      <c r="C458" t="s">
        <v>3265</v>
      </c>
      <c r="D458" t="s">
        <v>2080</v>
      </c>
    </row>
    <row r="459" spans="1:4">
      <c r="A459" t="s">
        <v>3266</v>
      </c>
      <c r="B459" t="s">
        <v>3267</v>
      </c>
      <c r="C459" t="s">
        <v>3268</v>
      </c>
      <c r="D459" t="s">
        <v>2080</v>
      </c>
    </row>
    <row r="460" spans="1:4">
      <c r="A460" t="s">
        <v>3269</v>
      </c>
      <c r="B460" t="s">
        <v>3270</v>
      </c>
      <c r="C460" t="s">
        <v>3271</v>
      </c>
      <c r="D460" t="s">
        <v>2080</v>
      </c>
    </row>
    <row r="461" spans="1:4">
      <c r="A461" t="s">
        <v>3272</v>
      </c>
      <c r="B461" t="s">
        <v>3273</v>
      </c>
      <c r="C461" t="s">
        <v>3274</v>
      </c>
      <c r="D461" t="s">
        <v>2080</v>
      </c>
    </row>
    <row r="462" spans="1:4">
      <c r="A462" t="s">
        <v>3275</v>
      </c>
      <c r="B462" t="s">
        <v>3276</v>
      </c>
      <c r="C462" t="s">
        <v>3277</v>
      </c>
      <c r="D462" t="s">
        <v>2080</v>
      </c>
    </row>
    <row r="463" spans="1:4">
      <c r="A463" t="s">
        <v>3278</v>
      </c>
      <c r="B463" t="s">
        <v>3279</v>
      </c>
      <c r="C463" t="s">
        <v>3280</v>
      </c>
      <c r="D463" t="s">
        <v>2080</v>
      </c>
    </row>
    <row r="464" spans="1:4">
      <c r="A464" t="s">
        <v>1091</v>
      </c>
      <c r="B464" t="s">
        <v>3281</v>
      </c>
      <c r="C464" t="s">
        <v>3282</v>
      </c>
      <c r="D464" t="s">
        <v>2080</v>
      </c>
    </row>
    <row r="465" spans="1:4">
      <c r="A465" t="s">
        <v>3283</v>
      </c>
      <c r="B465" t="s">
        <v>3284</v>
      </c>
      <c r="C465" t="s">
        <v>3285</v>
      </c>
      <c r="D465" t="s">
        <v>2080</v>
      </c>
    </row>
    <row r="466" spans="1:4">
      <c r="A466" t="s">
        <v>3286</v>
      </c>
      <c r="B466" t="s">
        <v>3287</v>
      </c>
      <c r="C466" t="s">
        <v>3288</v>
      </c>
      <c r="D466" t="s">
        <v>2080</v>
      </c>
    </row>
    <row r="467" spans="1:4">
      <c r="A467" t="s">
        <v>3289</v>
      </c>
      <c r="B467" t="s">
        <v>3290</v>
      </c>
      <c r="C467" t="s">
        <v>3291</v>
      </c>
      <c r="D467" t="s">
        <v>2080</v>
      </c>
    </row>
    <row r="468" spans="1:4">
      <c r="A468" t="s">
        <v>3292</v>
      </c>
      <c r="B468" t="s">
        <v>3293</v>
      </c>
      <c r="C468" t="s">
        <v>3294</v>
      </c>
      <c r="D468" t="s">
        <v>2080</v>
      </c>
    </row>
    <row r="469" spans="1:4">
      <c r="A469" t="s">
        <v>3295</v>
      </c>
      <c r="B469" t="s">
        <v>3296</v>
      </c>
      <c r="C469" t="s">
        <v>3297</v>
      </c>
      <c r="D469" t="s">
        <v>2080</v>
      </c>
    </row>
    <row r="470" spans="1:4">
      <c r="A470" t="s">
        <v>3298</v>
      </c>
      <c r="B470" t="s">
        <v>3299</v>
      </c>
      <c r="C470" t="s">
        <v>3300</v>
      </c>
      <c r="D470" t="s">
        <v>2080</v>
      </c>
    </row>
    <row r="471" spans="1:4">
      <c r="A471" t="s">
        <v>3301</v>
      </c>
      <c r="B471" t="s">
        <v>3302</v>
      </c>
      <c r="C471" t="s">
        <v>3303</v>
      </c>
      <c r="D471" t="s">
        <v>2080</v>
      </c>
    </row>
    <row r="472" spans="1:4">
      <c r="A472" t="s">
        <v>3304</v>
      </c>
      <c r="B472" t="s">
        <v>3305</v>
      </c>
      <c r="C472" t="s">
        <v>3306</v>
      </c>
      <c r="D472" t="s">
        <v>2301</v>
      </c>
    </row>
    <row r="473" spans="1:4">
      <c r="A473" t="s">
        <v>3307</v>
      </c>
      <c r="B473" t="s">
        <v>3308</v>
      </c>
      <c r="C473" t="s">
        <v>3309</v>
      </c>
      <c r="D473" t="s">
        <v>2080</v>
      </c>
    </row>
    <row r="474" spans="1:4">
      <c r="A474" t="s">
        <v>3310</v>
      </c>
      <c r="B474" t="s">
        <v>3311</v>
      </c>
      <c r="C474" t="s">
        <v>3312</v>
      </c>
      <c r="D474" t="s">
        <v>2080</v>
      </c>
    </row>
    <row r="475" spans="1:4">
      <c r="A475" t="s">
        <v>3313</v>
      </c>
      <c r="B475" t="s">
        <v>3314</v>
      </c>
      <c r="C475" t="s">
        <v>3315</v>
      </c>
      <c r="D475" t="s">
        <v>2080</v>
      </c>
    </row>
    <row r="476" spans="1:4">
      <c r="A476" t="s">
        <v>3316</v>
      </c>
      <c r="B476" t="s">
        <v>3317</v>
      </c>
      <c r="C476" t="s">
        <v>3318</v>
      </c>
      <c r="D476" t="s">
        <v>2080</v>
      </c>
    </row>
    <row r="477" spans="1:4">
      <c r="A477" t="s">
        <v>3319</v>
      </c>
      <c r="B477" t="s">
        <v>3320</v>
      </c>
      <c r="C477" t="s">
        <v>3321</v>
      </c>
      <c r="D477" t="s">
        <v>2080</v>
      </c>
    </row>
    <row r="478" spans="1:4">
      <c r="A478" t="s">
        <v>3322</v>
      </c>
      <c r="B478" t="s">
        <v>3323</v>
      </c>
      <c r="C478" t="s">
        <v>3324</v>
      </c>
      <c r="D478" t="s">
        <v>2080</v>
      </c>
    </row>
    <row r="479" spans="1:4">
      <c r="A479" t="s">
        <v>3325</v>
      </c>
      <c r="B479" t="s">
        <v>3326</v>
      </c>
      <c r="C479" t="s">
        <v>3327</v>
      </c>
      <c r="D479" t="s">
        <v>2080</v>
      </c>
    </row>
    <row r="480" spans="1:4">
      <c r="A480" t="s">
        <v>3328</v>
      </c>
      <c r="B480" t="s">
        <v>3329</v>
      </c>
      <c r="C480" t="s">
        <v>3330</v>
      </c>
      <c r="D480" t="s">
        <v>2080</v>
      </c>
    </row>
    <row r="481" spans="1:4">
      <c r="A481" t="s">
        <v>3331</v>
      </c>
      <c r="B481" t="s">
        <v>3332</v>
      </c>
      <c r="D481" t="s">
        <v>2805</v>
      </c>
    </row>
    <row r="482" spans="1:4">
      <c r="A482" t="s">
        <v>3333</v>
      </c>
      <c r="B482" t="s">
        <v>3334</v>
      </c>
      <c r="C482" t="s">
        <v>3335</v>
      </c>
      <c r="D482" t="s">
        <v>2080</v>
      </c>
    </row>
    <row r="483" spans="1:4">
      <c r="A483" t="s">
        <v>3336</v>
      </c>
      <c r="B483" t="s">
        <v>3337</v>
      </c>
      <c r="C483" t="s">
        <v>3338</v>
      </c>
      <c r="D483" t="s">
        <v>2080</v>
      </c>
    </row>
    <row r="484" spans="1:4">
      <c r="A484" t="s">
        <v>3339</v>
      </c>
      <c r="B484" t="s">
        <v>3340</v>
      </c>
      <c r="C484" t="s">
        <v>3341</v>
      </c>
      <c r="D484" t="s">
        <v>2080</v>
      </c>
    </row>
    <row r="485" spans="1:4">
      <c r="A485" t="s">
        <v>3342</v>
      </c>
      <c r="B485" t="s">
        <v>3343</v>
      </c>
      <c r="C485" t="s">
        <v>3344</v>
      </c>
      <c r="D485" t="s">
        <v>2080</v>
      </c>
    </row>
    <row r="486" spans="1:4">
      <c r="A486" t="s">
        <v>3345</v>
      </c>
      <c r="B486" t="s">
        <v>3346</v>
      </c>
      <c r="C486" t="s">
        <v>3347</v>
      </c>
      <c r="D486" t="s">
        <v>2301</v>
      </c>
    </row>
    <row r="487" spans="1:4">
      <c r="A487" t="s">
        <v>1191</v>
      </c>
      <c r="B487" t="s">
        <v>3348</v>
      </c>
      <c r="C487" t="s">
        <v>3349</v>
      </c>
      <c r="D487" t="s">
        <v>2301</v>
      </c>
    </row>
    <row r="488" spans="1:4">
      <c r="A488" t="s">
        <v>3350</v>
      </c>
      <c r="B488" t="s">
        <v>3351</v>
      </c>
      <c r="C488" t="s">
        <v>3352</v>
      </c>
      <c r="D488" t="s">
        <v>2080</v>
      </c>
    </row>
    <row r="489" spans="1:4">
      <c r="A489" t="s">
        <v>3353</v>
      </c>
      <c r="B489" t="s">
        <v>3354</v>
      </c>
      <c r="C489" t="s">
        <v>3355</v>
      </c>
      <c r="D489" t="s">
        <v>2080</v>
      </c>
    </row>
    <row r="490" spans="1:4">
      <c r="A490" t="s">
        <v>3356</v>
      </c>
      <c r="B490" t="s">
        <v>3357</v>
      </c>
      <c r="C490" t="s">
        <v>3358</v>
      </c>
      <c r="D490" t="s">
        <v>2301</v>
      </c>
    </row>
    <row r="491" spans="1:4">
      <c r="A491" t="s">
        <v>3359</v>
      </c>
      <c r="B491" t="s">
        <v>3360</v>
      </c>
      <c r="C491" t="s">
        <v>3361</v>
      </c>
      <c r="D491" t="s">
        <v>2080</v>
      </c>
    </row>
    <row r="492" spans="1:4">
      <c r="A492" t="s">
        <v>3362</v>
      </c>
      <c r="B492" t="s">
        <v>3363</v>
      </c>
      <c r="C492" t="s">
        <v>3364</v>
      </c>
      <c r="D492" t="s">
        <v>2301</v>
      </c>
    </row>
    <row r="493" spans="1:4">
      <c r="A493" t="s">
        <v>3365</v>
      </c>
      <c r="B493" t="s">
        <v>3366</v>
      </c>
      <c r="C493" t="s">
        <v>3367</v>
      </c>
      <c r="D493" t="s">
        <v>2301</v>
      </c>
    </row>
    <row r="494" spans="1:4">
      <c r="A494" t="s">
        <v>3368</v>
      </c>
      <c r="B494" t="s">
        <v>3369</v>
      </c>
      <c r="C494" t="s">
        <v>3370</v>
      </c>
      <c r="D494" t="s">
        <v>2080</v>
      </c>
    </row>
    <row r="495" spans="1:4">
      <c r="A495" t="s">
        <v>3371</v>
      </c>
      <c r="B495" t="s">
        <v>3372</v>
      </c>
      <c r="C495" t="s">
        <v>3335</v>
      </c>
      <c r="D495" t="s">
        <v>2080</v>
      </c>
    </row>
    <row r="496" spans="1:4">
      <c r="A496" t="s">
        <v>3373</v>
      </c>
      <c r="B496" t="s">
        <v>3374</v>
      </c>
      <c r="C496" t="s">
        <v>3375</v>
      </c>
      <c r="D496" t="s">
        <v>2080</v>
      </c>
    </row>
    <row r="497" spans="1:4">
      <c r="A497" t="s">
        <v>3376</v>
      </c>
      <c r="B497" t="s">
        <v>3377</v>
      </c>
      <c r="C497" t="s">
        <v>3378</v>
      </c>
      <c r="D497" t="s">
        <v>2080</v>
      </c>
    </row>
    <row r="498" spans="1:4">
      <c r="A498" t="s">
        <v>3379</v>
      </c>
      <c r="B498" t="s">
        <v>3380</v>
      </c>
      <c r="C498" t="s">
        <v>3381</v>
      </c>
      <c r="D498" t="s">
        <v>2301</v>
      </c>
    </row>
    <row r="499" spans="1:4">
      <c r="A499" t="s">
        <v>3382</v>
      </c>
      <c r="B499" t="s">
        <v>3383</v>
      </c>
      <c r="C499" t="s">
        <v>3384</v>
      </c>
      <c r="D499" t="s">
        <v>2080</v>
      </c>
    </row>
    <row r="500" spans="1:4">
      <c r="A500" t="s">
        <v>3385</v>
      </c>
      <c r="B500" t="s">
        <v>3386</v>
      </c>
      <c r="C500" t="s">
        <v>3387</v>
      </c>
      <c r="D500" t="s">
        <v>2080</v>
      </c>
    </row>
    <row r="501" spans="1:4">
      <c r="A501" t="s">
        <v>1234</v>
      </c>
      <c r="B501" t="s">
        <v>3388</v>
      </c>
      <c r="C501" t="s">
        <v>3389</v>
      </c>
      <c r="D501" t="s">
        <v>2080</v>
      </c>
    </row>
    <row r="502" spans="1:4">
      <c r="A502" t="s">
        <v>3390</v>
      </c>
      <c r="B502" t="s">
        <v>3391</v>
      </c>
      <c r="C502" t="s">
        <v>3392</v>
      </c>
      <c r="D502" t="s">
        <v>2301</v>
      </c>
    </row>
    <row r="503" spans="1:4">
      <c r="A503" t="s">
        <v>989</v>
      </c>
      <c r="B503" t="s">
        <v>3393</v>
      </c>
      <c r="C503" t="s">
        <v>3394</v>
      </c>
      <c r="D503" t="s">
        <v>2080</v>
      </c>
    </row>
    <row r="504" spans="1:4">
      <c r="A504" t="s">
        <v>3395</v>
      </c>
      <c r="B504" t="s">
        <v>3396</v>
      </c>
      <c r="C504" t="s">
        <v>3397</v>
      </c>
      <c r="D504" t="s">
        <v>2080</v>
      </c>
    </row>
    <row r="505" spans="1:4">
      <c r="A505" t="s">
        <v>3398</v>
      </c>
      <c r="B505" t="s">
        <v>3399</v>
      </c>
      <c r="C505" t="s">
        <v>3400</v>
      </c>
      <c r="D505" t="s">
        <v>2080</v>
      </c>
    </row>
    <row r="506" spans="1:4">
      <c r="A506" t="s">
        <v>3401</v>
      </c>
      <c r="B506" t="s">
        <v>3402</v>
      </c>
      <c r="C506" t="s">
        <v>3403</v>
      </c>
      <c r="D506" t="s">
        <v>2080</v>
      </c>
    </row>
    <row r="507" spans="1:4">
      <c r="A507" t="s">
        <v>3404</v>
      </c>
      <c r="B507" t="s">
        <v>3405</v>
      </c>
      <c r="C507" t="s">
        <v>3406</v>
      </c>
      <c r="D507" t="s">
        <v>2080</v>
      </c>
    </row>
    <row r="508" spans="1:4">
      <c r="A508" t="s">
        <v>3407</v>
      </c>
      <c r="B508" t="s">
        <v>3408</v>
      </c>
      <c r="C508" t="s">
        <v>3409</v>
      </c>
      <c r="D508" t="s">
        <v>2301</v>
      </c>
    </row>
    <row r="509" spans="1:4">
      <c r="A509" t="s">
        <v>3410</v>
      </c>
      <c r="B509" t="s">
        <v>3411</v>
      </c>
      <c r="C509" t="s">
        <v>3412</v>
      </c>
      <c r="D509" t="s">
        <v>2301</v>
      </c>
    </row>
    <row r="510" spans="1:4">
      <c r="A510" t="s">
        <v>3413</v>
      </c>
      <c r="B510" t="s">
        <v>3414</v>
      </c>
      <c r="C510" t="s">
        <v>3415</v>
      </c>
      <c r="D510" t="s">
        <v>2080</v>
      </c>
    </row>
    <row r="511" spans="1:4">
      <c r="A511" t="s">
        <v>3416</v>
      </c>
      <c r="B511" t="s">
        <v>3417</v>
      </c>
      <c r="C511" t="s">
        <v>3418</v>
      </c>
      <c r="D511" t="s">
        <v>2080</v>
      </c>
    </row>
    <row r="512" spans="1:4">
      <c r="A512" t="s">
        <v>1123</v>
      </c>
      <c r="B512" t="s">
        <v>3419</v>
      </c>
      <c r="C512" t="s">
        <v>3420</v>
      </c>
      <c r="D512" t="s">
        <v>2080</v>
      </c>
    </row>
    <row r="513" spans="1:4">
      <c r="A513" t="s">
        <v>3421</v>
      </c>
      <c r="B513" t="s">
        <v>3422</v>
      </c>
      <c r="C513" t="s">
        <v>3423</v>
      </c>
      <c r="D513" t="s">
        <v>2080</v>
      </c>
    </row>
    <row r="514" spans="1:4">
      <c r="A514" t="s">
        <v>3424</v>
      </c>
      <c r="B514" t="s">
        <v>3425</v>
      </c>
      <c r="C514" t="s">
        <v>3426</v>
      </c>
      <c r="D514" t="s">
        <v>2080</v>
      </c>
    </row>
    <row r="515" spans="1:4">
      <c r="A515" t="s">
        <v>2200</v>
      </c>
      <c r="B515" t="s">
        <v>3427</v>
      </c>
      <c r="C515" t="s">
        <v>3428</v>
      </c>
      <c r="D515" t="s">
        <v>2080</v>
      </c>
    </row>
    <row r="516" spans="1:4">
      <c r="A516" t="s">
        <v>3429</v>
      </c>
      <c r="B516" t="s">
        <v>3430</v>
      </c>
      <c r="C516" t="s">
        <v>3431</v>
      </c>
      <c r="D516" t="s">
        <v>2301</v>
      </c>
    </row>
    <row r="517" spans="1:4">
      <c r="A517" t="s">
        <v>3432</v>
      </c>
      <c r="B517" t="s">
        <v>3433</v>
      </c>
      <c r="C517" t="s">
        <v>3434</v>
      </c>
      <c r="D517" t="s">
        <v>2301</v>
      </c>
    </row>
    <row r="518" spans="1:4">
      <c r="A518" t="s">
        <v>3435</v>
      </c>
      <c r="B518" t="s">
        <v>3436</v>
      </c>
      <c r="C518" t="s">
        <v>3437</v>
      </c>
      <c r="D518" t="s">
        <v>2301</v>
      </c>
    </row>
    <row r="519" spans="1:4">
      <c r="A519" t="s">
        <v>3438</v>
      </c>
      <c r="B519" t="s">
        <v>3439</v>
      </c>
      <c r="C519" t="s">
        <v>3440</v>
      </c>
      <c r="D519" t="s">
        <v>2080</v>
      </c>
    </row>
    <row r="520" spans="1:4">
      <c r="A520" t="s">
        <v>3441</v>
      </c>
      <c r="B520" t="s">
        <v>3442</v>
      </c>
      <c r="C520" t="s">
        <v>3443</v>
      </c>
      <c r="D520" t="s">
        <v>2080</v>
      </c>
    </row>
    <row r="521" spans="1:4">
      <c r="A521" t="s">
        <v>3444</v>
      </c>
      <c r="B521" t="s">
        <v>3445</v>
      </c>
      <c r="C521" t="s">
        <v>3446</v>
      </c>
      <c r="D521" t="s">
        <v>2080</v>
      </c>
    </row>
    <row r="522" spans="1:4">
      <c r="A522" t="s">
        <v>3447</v>
      </c>
      <c r="B522" t="s">
        <v>3448</v>
      </c>
      <c r="C522" t="s">
        <v>3449</v>
      </c>
      <c r="D522" t="s">
        <v>2080</v>
      </c>
    </row>
    <row r="523" spans="1:4">
      <c r="A523" t="s">
        <v>3450</v>
      </c>
      <c r="B523" t="s">
        <v>3451</v>
      </c>
      <c r="C523" t="s">
        <v>3452</v>
      </c>
      <c r="D523" t="s">
        <v>2301</v>
      </c>
    </row>
    <row r="524" spans="1:4">
      <c r="A524" t="s">
        <v>3453</v>
      </c>
      <c r="B524" t="s">
        <v>3454</v>
      </c>
      <c r="C524" t="s">
        <v>3455</v>
      </c>
      <c r="D524" t="s">
        <v>2080</v>
      </c>
    </row>
    <row r="525" spans="1:4">
      <c r="A525" t="s">
        <v>3456</v>
      </c>
      <c r="B525" t="s">
        <v>3457</v>
      </c>
      <c r="C525" t="s">
        <v>3458</v>
      </c>
      <c r="D525" t="s">
        <v>2080</v>
      </c>
    </row>
    <row r="526" spans="1:4">
      <c r="A526" t="s">
        <v>3459</v>
      </c>
      <c r="B526" t="s">
        <v>3460</v>
      </c>
      <c r="C526" t="s">
        <v>3461</v>
      </c>
      <c r="D526" t="s">
        <v>2080</v>
      </c>
    </row>
    <row r="527" spans="1:4">
      <c r="A527" t="s">
        <v>3462</v>
      </c>
      <c r="B527" t="s">
        <v>3463</v>
      </c>
      <c r="C527" t="s">
        <v>3464</v>
      </c>
      <c r="D527" t="s">
        <v>2080</v>
      </c>
    </row>
    <row r="528" spans="1:4">
      <c r="A528" t="s">
        <v>3465</v>
      </c>
      <c r="B528" t="s">
        <v>3466</v>
      </c>
      <c r="C528" t="s">
        <v>3467</v>
      </c>
      <c r="D528" t="s">
        <v>2301</v>
      </c>
    </row>
    <row r="529" spans="1:4">
      <c r="A529" t="s">
        <v>3468</v>
      </c>
      <c r="B529" t="s">
        <v>3469</v>
      </c>
      <c r="C529" t="s">
        <v>3470</v>
      </c>
      <c r="D529" t="s">
        <v>2080</v>
      </c>
    </row>
    <row r="530" spans="1:4">
      <c r="A530" t="s">
        <v>3471</v>
      </c>
      <c r="B530" t="s">
        <v>3472</v>
      </c>
      <c r="C530" t="s">
        <v>3473</v>
      </c>
      <c r="D530" t="s">
        <v>2080</v>
      </c>
    </row>
    <row r="531" spans="1:4">
      <c r="A531" t="s">
        <v>3474</v>
      </c>
      <c r="B531" t="s">
        <v>3475</v>
      </c>
      <c r="C531" t="s">
        <v>3476</v>
      </c>
      <c r="D531" t="s">
        <v>2080</v>
      </c>
    </row>
    <row r="532" spans="1:4">
      <c r="A532" t="s">
        <v>1738</v>
      </c>
      <c r="B532" t="s">
        <v>3477</v>
      </c>
      <c r="C532" t="s">
        <v>3478</v>
      </c>
      <c r="D532" t="s">
        <v>2301</v>
      </c>
    </row>
    <row r="533" spans="1:4">
      <c r="A533" t="s">
        <v>3479</v>
      </c>
      <c r="B533" t="s">
        <v>3480</v>
      </c>
      <c r="C533" t="s">
        <v>3481</v>
      </c>
      <c r="D533" t="s">
        <v>2080</v>
      </c>
    </row>
    <row r="534" spans="1:4">
      <c r="A534" t="s">
        <v>3482</v>
      </c>
      <c r="B534" t="s">
        <v>3483</v>
      </c>
      <c r="C534" t="s">
        <v>3484</v>
      </c>
      <c r="D534" t="s">
        <v>2080</v>
      </c>
    </row>
    <row r="535" spans="1:4">
      <c r="A535" t="s">
        <v>3485</v>
      </c>
      <c r="B535" t="s">
        <v>3486</v>
      </c>
      <c r="C535" t="s">
        <v>3487</v>
      </c>
      <c r="D535" t="s">
        <v>2080</v>
      </c>
    </row>
    <row r="536" spans="1:4">
      <c r="A536" t="s">
        <v>3488</v>
      </c>
      <c r="B536" t="s">
        <v>3489</v>
      </c>
      <c r="C536" t="s">
        <v>3490</v>
      </c>
      <c r="D536" t="s">
        <v>2080</v>
      </c>
    </row>
    <row r="537" spans="1:4">
      <c r="A537" t="s">
        <v>3491</v>
      </c>
      <c r="B537" t="s">
        <v>3492</v>
      </c>
      <c r="C537" t="s">
        <v>3493</v>
      </c>
      <c r="D537" t="s">
        <v>2301</v>
      </c>
    </row>
    <row r="538" spans="1:4">
      <c r="A538" t="s">
        <v>1106</v>
      </c>
      <c r="B538" t="s">
        <v>3494</v>
      </c>
      <c r="C538" t="s">
        <v>3495</v>
      </c>
      <c r="D538" t="s">
        <v>2301</v>
      </c>
    </row>
    <row r="539" spans="1:4">
      <c r="A539" t="s">
        <v>3496</v>
      </c>
      <c r="B539" t="s">
        <v>3497</v>
      </c>
      <c r="C539" t="s">
        <v>3498</v>
      </c>
      <c r="D539" t="s">
        <v>2080</v>
      </c>
    </row>
    <row r="540" spans="1:4">
      <c r="A540" t="s">
        <v>3499</v>
      </c>
      <c r="B540" t="s">
        <v>3500</v>
      </c>
      <c r="C540" t="s">
        <v>3501</v>
      </c>
      <c r="D540" t="s">
        <v>2080</v>
      </c>
    </row>
    <row r="541" spans="1:4">
      <c r="A541" t="s">
        <v>3502</v>
      </c>
      <c r="B541" t="s">
        <v>3503</v>
      </c>
      <c r="C541" t="s">
        <v>3504</v>
      </c>
      <c r="D541" t="s">
        <v>2080</v>
      </c>
    </row>
    <row r="542" spans="1:4">
      <c r="A542" t="s">
        <v>3505</v>
      </c>
      <c r="B542" t="s">
        <v>3506</v>
      </c>
      <c r="C542" t="s">
        <v>3507</v>
      </c>
      <c r="D542" t="s">
        <v>2080</v>
      </c>
    </row>
    <row r="543" spans="1:4">
      <c r="A543" t="s">
        <v>3508</v>
      </c>
      <c r="B543" t="s">
        <v>3509</v>
      </c>
      <c r="C543" t="s">
        <v>3510</v>
      </c>
      <c r="D543" t="s">
        <v>2301</v>
      </c>
    </row>
    <row r="544" spans="1:4">
      <c r="A544" t="s">
        <v>3511</v>
      </c>
      <c r="B544" t="s">
        <v>3512</v>
      </c>
      <c r="C544" t="s">
        <v>3513</v>
      </c>
      <c r="D544" t="s">
        <v>2080</v>
      </c>
    </row>
    <row r="545" spans="1:4">
      <c r="A545" t="s">
        <v>3514</v>
      </c>
      <c r="B545" t="s">
        <v>3515</v>
      </c>
      <c r="C545" t="s">
        <v>3516</v>
      </c>
      <c r="D545" t="s">
        <v>2080</v>
      </c>
    </row>
    <row r="546" spans="1:4">
      <c r="A546" t="s">
        <v>2415</v>
      </c>
      <c r="B546" t="s">
        <v>3517</v>
      </c>
      <c r="C546" t="s">
        <v>2417</v>
      </c>
      <c r="D546" t="s">
        <v>2301</v>
      </c>
    </row>
    <row r="547" spans="1:4">
      <c r="A547" t="s">
        <v>3518</v>
      </c>
      <c r="B547" t="s">
        <v>3519</v>
      </c>
      <c r="C547" t="s">
        <v>3520</v>
      </c>
      <c r="D547" t="s">
        <v>2301</v>
      </c>
    </row>
    <row r="548" spans="1:4">
      <c r="A548" t="s">
        <v>3521</v>
      </c>
      <c r="B548" t="s">
        <v>3522</v>
      </c>
      <c r="C548" t="s">
        <v>3523</v>
      </c>
      <c r="D548" t="s">
        <v>2080</v>
      </c>
    </row>
    <row r="549" spans="1:4">
      <c r="A549" t="s">
        <v>3524</v>
      </c>
      <c r="B549" t="s">
        <v>3525</v>
      </c>
      <c r="C549" t="s">
        <v>3526</v>
      </c>
      <c r="D549" t="s">
        <v>2080</v>
      </c>
    </row>
    <row r="550" spans="1:4">
      <c r="A550" t="s">
        <v>3527</v>
      </c>
      <c r="B550" t="s">
        <v>3528</v>
      </c>
      <c r="C550" t="s">
        <v>3529</v>
      </c>
      <c r="D550" t="s">
        <v>2080</v>
      </c>
    </row>
    <row r="551" spans="1:4">
      <c r="A551" t="s">
        <v>3530</v>
      </c>
      <c r="B551" t="s">
        <v>3531</v>
      </c>
      <c r="C551" t="s">
        <v>3532</v>
      </c>
      <c r="D551" t="s">
        <v>2080</v>
      </c>
    </row>
    <row r="552" spans="1:4">
      <c r="A552" t="s">
        <v>3533</v>
      </c>
      <c r="B552" t="s">
        <v>3534</v>
      </c>
      <c r="C552" t="s">
        <v>3535</v>
      </c>
      <c r="D552" t="s">
        <v>2080</v>
      </c>
    </row>
    <row r="553" spans="1:4">
      <c r="A553" t="s">
        <v>3536</v>
      </c>
      <c r="B553" t="s">
        <v>3537</v>
      </c>
      <c r="C553" t="s">
        <v>3538</v>
      </c>
      <c r="D553" t="s">
        <v>2080</v>
      </c>
    </row>
    <row r="554" spans="1:4">
      <c r="A554" t="s">
        <v>3539</v>
      </c>
      <c r="B554" t="s">
        <v>3540</v>
      </c>
      <c r="C554" t="s">
        <v>3541</v>
      </c>
      <c r="D554" t="s">
        <v>2080</v>
      </c>
    </row>
    <row r="555" spans="1:4">
      <c r="A555" t="s">
        <v>3542</v>
      </c>
      <c r="B555" t="s">
        <v>3543</v>
      </c>
      <c r="C555" t="s">
        <v>3544</v>
      </c>
      <c r="D555" t="s">
        <v>2080</v>
      </c>
    </row>
    <row r="556" spans="1:4">
      <c r="A556" t="s">
        <v>3545</v>
      </c>
      <c r="B556" t="s">
        <v>3546</v>
      </c>
      <c r="C556" t="s">
        <v>3547</v>
      </c>
      <c r="D556" t="s">
        <v>2080</v>
      </c>
    </row>
    <row r="557" spans="1:4">
      <c r="A557" t="s">
        <v>3548</v>
      </c>
      <c r="B557" t="s">
        <v>3549</v>
      </c>
      <c r="C557" t="s">
        <v>3550</v>
      </c>
      <c r="D557" t="s">
        <v>2080</v>
      </c>
    </row>
    <row r="558" spans="1:4">
      <c r="A558" t="s">
        <v>3551</v>
      </c>
      <c r="B558" t="s">
        <v>3552</v>
      </c>
      <c r="C558" t="s">
        <v>3553</v>
      </c>
      <c r="D558" t="s">
        <v>2080</v>
      </c>
    </row>
    <row r="559" spans="1:4">
      <c r="A559" t="s">
        <v>3554</v>
      </c>
      <c r="B559" t="s">
        <v>3555</v>
      </c>
      <c r="C559" t="s">
        <v>3556</v>
      </c>
      <c r="D559" t="s">
        <v>2080</v>
      </c>
    </row>
    <row r="560" spans="1:4">
      <c r="A560" t="s">
        <v>3557</v>
      </c>
      <c r="B560" t="s">
        <v>3558</v>
      </c>
      <c r="C560" t="s">
        <v>3559</v>
      </c>
      <c r="D560" t="s">
        <v>2080</v>
      </c>
    </row>
    <row r="561" spans="1:4">
      <c r="A561" t="s">
        <v>3560</v>
      </c>
      <c r="B561" t="s">
        <v>3561</v>
      </c>
      <c r="C561" t="s">
        <v>3562</v>
      </c>
      <c r="D561" t="s">
        <v>2080</v>
      </c>
    </row>
    <row r="562" spans="1:4">
      <c r="A562" t="s">
        <v>3563</v>
      </c>
      <c r="B562" t="s">
        <v>3564</v>
      </c>
      <c r="C562" t="s">
        <v>3565</v>
      </c>
      <c r="D562" t="s">
        <v>2080</v>
      </c>
    </row>
    <row r="563" spans="1:4">
      <c r="A563" t="s">
        <v>3566</v>
      </c>
      <c r="B563" t="s">
        <v>3567</v>
      </c>
      <c r="C563" t="s">
        <v>3568</v>
      </c>
      <c r="D563" t="s">
        <v>2080</v>
      </c>
    </row>
    <row r="564" spans="1:4">
      <c r="A564" t="s">
        <v>3569</v>
      </c>
      <c r="B564" t="s">
        <v>3570</v>
      </c>
      <c r="C564" t="s">
        <v>3571</v>
      </c>
      <c r="D564" t="s">
        <v>2080</v>
      </c>
    </row>
    <row r="565" spans="1:4">
      <c r="A565" t="s">
        <v>3572</v>
      </c>
      <c r="B565" t="s">
        <v>3573</v>
      </c>
      <c r="C565" t="s">
        <v>3574</v>
      </c>
      <c r="D565" t="s">
        <v>2080</v>
      </c>
    </row>
    <row r="566" spans="1:4">
      <c r="A566" t="s">
        <v>3575</v>
      </c>
      <c r="B566" t="s">
        <v>3576</v>
      </c>
      <c r="C566" t="s">
        <v>3577</v>
      </c>
      <c r="D566" t="s">
        <v>2080</v>
      </c>
    </row>
    <row r="567" spans="1:4">
      <c r="A567" t="s">
        <v>3578</v>
      </c>
      <c r="B567" t="s">
        <v>3579</v>
      </c>
      <c r="C567" t="s">
        <v>3580</v>
      </c>
      <c r="D567" t="s">
        <v>2080</v>
      </c>
    </row>
    <row r="568" spans="1:4">
      <c r="A568" t="s">
        <v>3581</v>
      </c>
      <c r="B568" t="s">
        <v>3582</v>
      </c>
      <c r="C568" t="s">
        <v>3583</v>
      </c>
      <c r="D568" t="s">
        <v>2080</v>
      </c>
    </row>
    <row r="569" spans="1:4">
      <c r="A569" t="s">
        <v>3584</v>
      </c>
      <c r="B569" t="s">
        <v>3585</v>
      </c>
      <c r="C569" t="s">
        <v>3586</v>
      </c>
      <c r="D569" t="s">
        <v>2080</v>
      </c>
    </row>
    <row r="570" spans="1:4">
      <c r="A570" t="s">
        <v>3587</v>
      </c>
      <c r="B570" t="s">
        <v>3588</v>
      </c>
      <c r="C570" t="s">
        <v>3589</v>
      </c>
      <c r="D570" t="s">
        <v>2080</v>
      </c>
    </row>
    <row r="571" spans="1:4">
      <c r="A571" t="s">
        <v>3590</v>
      </c>
      <c r="B571" t="s">
        <v>3591</v>
      </c>
      <c r="C571" t="s">
        <v>3592</v>
      </c>
      <c r="D571" t="s">
        <v>2080</v>
      </c>
    </row>
    <row r="572" spans="1:4">
      <c r="A572" t="s">
        <v>690</v>
      </c>
      <c r="B572" t="s">
        <v>3593</v>
      </c>
      <c r="C572" t="s">
        <v>3594</v>
      </c>
      <c r="D572" t="s">
        <v>2080</v>
      </c>
    </row>
    <row r="573" spans="1:4">
      <c r="A573" t="s">
        <v>3595</v>
      </c>
      <c r="B573" t="s">
        <v>3596</v>
      </c>
      <c r="C573" t="s">
        <v>3597</v>
      </c>
      <c r="D573" t="s">
        <v>2080</v>
      </c>
    </row>
    <row r="574" spans="1:4">
      <c r="A574" t="s">
        <v>3598</v>
      </c>
      <c r="B574" t="s">
        <v>3599</v>
      </c>
      <c r="C574" t="s">
        <v>3600</v>
      </c>
      <c r="D574" t="s">
        <v>2080</v>
      </c>
    </row>
    <row r="575" spans="1:4">
      <c r="A575" t="s">
        <v>3601</v>
      </c>
      <c r="B575" t="s">
        <v>3602</v>
      </c>
      <c r="C575" t="s">
        <v>3603</v>
      </c>
      <c r="D575" t="s">
        <v>2080</v>
      </c>
    </row>
    <row r="576" spans="1:4">
      <c r="A576" t="s">
        <v>3604</v>
      </c>
      <c r="B576" t="s">
        <v>3605</v>
      </c>
      <c r="C576" t="s">
        <v>3606</v>
      </c>
      <c r="D576" t="s">
        <v>2080</v>
      </c>
    </row>
    <row r="577" spans="1:4">
      <c r="A577" t="s">
        <v>3607</v>
      </c>
      <c r="B577" t="s">
        <v>3608</v>
      </c>
      <c r="C577" t="s">
        <v>3609</v>
      </c>
      <c r="D577" t="s">
        <v>2080</v>
      </c>
    </row>
    <row r="578" spans="1:4">
      <c r="A578" t="s">
        <v>3610</v>
      </c>
      <c r="B578" t="s">
        <v>3611</v>
      </c>
      <c r="C578" t="s">
        <v>3612</v>
      </c>
      <c r="D578" t="s">
        <v>2080</v>
      </c>
    </row>
    <row r="579" spans="1:4">
      <c r="A579" t="s">
        <v>3613</v>
      </c>
      <c r="B579" t="s">
        <v>3614</v>
      </c>
      <c r="C579" t="s">
        <v>3615</v>
      </c>
      <c r="D579" t="s">
        <v>2080</v>
      </c>
    </row>
    <row r="580" spans="1:4">
      <c r="A580" t="s">
        <v>3616</v>
      </c>
      <c r="B580" t="s">
        <v>3617</v>
      </c>
      <c r="C580" t="s">
        <v>3618</v>
      </c>
      <c r="D580" t="s">
        <v>2080</v>
      </c>
    </row>
    <row r="581" spans="1:4">
      <c r="A581" t="s">
        <v>3619</v>
      </c>
      <c r="B581" t="s">
        <v>3620</v>
      </c>
      <c r="C581" t="s">
        <v>3621</v>
      </c>
      <c r="D581" t="s">
        <v>2080</v>
      </c>
    </row>
    <row r="582" spans="1:4">
      <c r="A582" t="s">
        <v>3622</v>
      </c>
      <c r="B582" t="s">
        <v>3623</v>
      </c>
      <c r="C582" t="s">
        <v>3624</v>
      </c>
      <c r="D582" t="s">
        <v>2080</v>
      </c>
    </row>
    <row r="583" spans="1:4">
      <c r="A583" t="s">
        <v>3625</v>
      </c>
      <c r="B583" t="s">
        <v>3626</v>
      </c>
      <c r="C583" t="s">
        <v>3627</v>
      </c>
      <c r="D583" t="s">
        <v>2080</v>
      </c>
    </row>
    <row r="584" spans="1:4">
      <c r="A584" t="s">
        <v>3628</v>
      </c>
      <c r="B584" t="s">
        <v>3629</v>
      </c>
      <c r="C584" t="s">
        <v>3630</v>
      </c>
      <c r="D584" t="s">
        <v>2080</v>
      </c>
    </row>
    <row r="585" spans="1:4">
      <c r="A585" t="s">
        <v>3631</v>
      </c>
      <c r="B585" t="s">
        <v>3632</v>
      </c>
      <c r="C585" t="s">
        <v>3633</v>
      </c>
      <c r="D585" t="s">
        <v>2080</v>
      </c>
    </row>
    <row r="586" spans="1:4">
      <c r="A586" t="s">
        <v>3634</v>
      </c>
      <c r="B586" t="s">
        <v>3635</v>
      </c>
      <c r="C586" t="s">
        <v>3636</v>
      </c>
      <c r="D586" t="s">
        <v>2301</v>
      </c>
    </row>
    <row r="587" spans="1:4">
      <c r="A587" t="s">
        <v>3637</v>
      </c>
      <c r="B587" t="s">
        <v>3638</v>
      </c>
      <c r="C587" t="s">
        <v>3639</v>
      </c>
      <c r="D587" t="s">
        <v>2080</v>
      </c>
    </row>
    <row r="588" spans="1:4">
      <c r="A588" t="s">
        <v>3640</v>
      </c>
      <c r="B588" t="s">
        <v>3641</v>
      </c>
      <c r="C588" t="s">
        <v>3642</v>
      </c>
      <c r="D588" t="s">
        <v>2080</v>
      </c>
    </row>
    <row r="589" spans="1:4">
      <c r="A589" t="s">
        <v>3643</v>
      </c>
      <c r="B589" t="s">
        <v>3644</v>
      </c>
      <c r="C589" t="s">
        <v>3645</v>
      </c>
      <c r="D589" t="s">
        <v>2080</v>
      </c>
    </row>
    <row r="590" spans="1:4">
      <c r="A590" t="s">
        <v>3646</v>
      </c>
      <c r="B590" t="s">
        <v>3647</v>
      </c>
      <c r="C590" t="s">
        <v>3648</v>
      </c>
      <c r="D590" t="s">
        <v>2080</v>
      </c>
    </row>
    <row r="591" spans="1:4">
      <c r="A591" t="s">
        <v>3649</v>
      </c>
      <c r="B591" t="s">
        <v>3650</v>
      </c>
      <c r="C591" t="s">
        <v>3651</v>
      </c>
      <c r="D591" t="s">
        <v>2080</v>
      </c>
    </row>
    <row r="592" spans="1:4">
      <c r="A592" t="s">
        <v>3652</v>
      </c>
      <c r="B592" t="s">
        <v>3653</v>
      </c>
      <c r="C592" t="s">
        <v>3654</v>
      </c>
      <c r="D592" t="s">
        <v>2080</v>
      </c>
    </row>
    <row r="593" spans="1:4">
      <c r="A593" t="s">
        <v>1377</v>
      </c>
      <c r="B593" t="s">
        <v>3655</v>
      </c>
      <c r="C593" t="s">
        <v>3656</v>
      </c>
      <c r="D593" t="s">
        <v>2301</v>
      </c>
    </row>
    <row r="594" spans="1:4">
      <c r="A594" t="s">
        <v>3657</v>
      </c>
      <c r="B594" t="s">
        <v>3658</v>
      </c>
      <c r="C594" t="s">
        <v>3659</v>
      </c>
      <c r="D594" t="s">
        <v>2080</v>
      </c>
    </row>
    <row r="595" spans="1:4">
      <c r="A595" t="s">
        <v>3660</v>
      </c>
      <c r="B595" t="s">
        <v>3661</v>
      </c>
      <c r="C595" t="s">
        <v>3662</v>
      </c>
      <c r="D595" t="s">
        <v>2080</v>
      </c>
    </row>
    <row r="596" spans="1:4">
      <c r="A596" t="s">
        <v>3663</v>
      </c>
      <c r="B596" t="s">
        <v>3664</v>
      </c>
      <c r="C596" t="s">
        <v>3665</v>
      </c>
      <c r="D596" t="s">
        <v>2080</v>
      </c>
    </row>
    <row r="597" spans="1:4">
      <c r="A597" t="s">
        <v>3666</v>
      </c>
      <c r="B597" t="s">
        <v>3667</v>
      </c>
      <c r="C597" t="s">
        <v>3668</v>
      </c>
      <c r="D597" t="s">
        <v>2080</v>
      </c>
    </row>
    <row r="598" spans="1:4">
      <c r="A598" t="s">
        <v>3669</v>
      </c>
      <c r="B598" t="s">
        <v>3670</v>
      </c>
      <c r="C598" t="s">
        <v>3671</v>
      </c>
      <c r="D598" t="s">
        <v>2301</v>
      </c>
    </row>
    <row r="599" spans="1:4">
      <c r="A599" t="s">
        <v>3672</v>
      </c>
      <c r="B599" t="s">
        <v>3673</v>
      </c>
      <c r="C599" t="s">
        <v>3674</v>
      </c>
      <c r="D599" t="s">
        <v>2080</v>
      </c>
    </row>
    <row r="600" spans="1:4">
      <c r="A600" t="s">
        <v>3675</v>
      </c>
      <c r="B600" t="s">
        <v>3676</v>
      </c>
      <c r="C600" t="s">
        <v>2318</v>
      </c>
      <c r="D600" t="s">
        <v>2080</v>
      </c>
    </row>
    <row r="601" spans="1:4">
      <c r="A601" t="s">
        <v>3677</v>
      </c>
      <c r="B601" t="s">
        <v>3678</v>
      </c>
      <c r="C601" t="s">
        <v>3679</v>
      </c>
      <c r="D601" t="s">
        <v>2080</v>
      </c>
    </row>
    <row r="602" spans="1:4">
      <c r="A602" t="s">
        <v>2436</v>
      </c>
      <c r="B602" t="s">
        <v>3680</v>
      </c>
      <c r="C602" t="s">
        <v>3681</v>
      </c>
      <c r="D602" t="s">
        <v>2301</v>
      </c>
    </row>
    <row r="603" spans="1:4">
      <c r="A603" t="s">
        <v>3682</v>
      </c>
      <c r="B603" t="s">
        <v>3683</v>
      </c>
      <c r="C603" t="s">
        <v>3684</v>
      </c>
      <c r="D603" t="s">
        <v>2080</v>
      </c>
    </row>
    <row r="604" spans="1:4">
      <c r="A604" t="s">
        <v>3685</v>
      </c>
      <c r="B604" t="s">
        <v>3686</v>
      </c>
      <c r="C604" t="s">
        <v>3070</v>
      </c>
      <c r="D604" t="s">
        <v>2080</v>
      </c>
    </row>
    <row r="605" spans="1:4">
      <c r="A605" t="s">
        <v>3687</v>
      </c>
      <c r="B605" t="s">
        <v>3688</v>
      </c>
      <c r="C605" t="s">
        <v>3689</v>
      </c>
      <c r="D605" t="s">
        <v>2080</v>
      </c>
    </row>
    <row r="606" spans="1:4">
      <c r="A606" t="s">
        <v>3690</v>
      </c>
      <c r="B606" t="s">
        <v>3691</v>
      </c>
      <c r="C606" t="s">
        <v>3692</v>
      </c>
      <c r="D606" t="s">
        <v>2301</v>
      </c>
    </row>
    <row r="607" spans="1:4">
      <c r="A607" t="s">
        <v>3693</v>
      </c>
      <c r="B607" t="s">
        <v>3694</v>
      </c>
      <c r="C607" t="s">
        <v>3695</v>
      </c>
      <c r="D607" t="s">
        <v>2080</v>
      </c>
    </row>
    <row r="608" spans="1:4">
      <c r="A608" t="s">
        <v>1239</v>
      </c>
      <c r="B608" t="s">
        <v>3696</v>
      </c>
      <c r="C608" t="s">
        <v>3697</v>
      </c>
      <c r="D608" t="s">
        <v>2080</v>
      </c>
    </row>
    <row r="609" spans="1:4">
      <c r="A609" t="s">
        <v>3698</v>
      </c>
      <c r="B609" t="s">
        <v>3699</v>
      </c>
      <c r="C609" t="s">
        <v>3700</v>
      </c>
      <c r="D609" t="s">
        <v>2080</v>
      </c>
    </row>
    <row r="610" spans="1:4">
      <c r="A610" t="s">
        <v>3701</v>
      </c>
      <c r="B610" t="s">
        <v>3702</v>
      </c>
      <c r="C610" t="s">
        <v>3703</v>
      </c>
      <c r="D610" t="s">
        <v>2301</v>
      </c>
    </row>
    <row r="611" spans="1:4">
      <c r="A611" t="s">
        <v>3704</v>
      </c>
      <c r="B611" t="s">
        <v>3705</v>
      </c>
      <c r="C611" t="s">
        <v>3706</v>
      </c>
      <c r="D611" t="s">
        <v>2080</v>
      </c>
    </row>
    <row r="612" spans="1:4">
      <c r="A612" t="s">
        <v>3707</v>
      </c>
      <c r="B612" t="s">
        <v>3708</v>
      </c>
      <c r="C612" t="s">
        <v>3709</v>
      </c>
      <c r="D612" t="s">
        <v>2080</v>
      </c>
    </row>
    <row r="613" spans="1:4">
      <c r="A613" t="s">
        <v>2233</v>
      </c>
      <c r="B613" t="s">
        <v>3710</v>
      </c>
      <c r="C613" t="s">
        <v>2235</v>
      </c>
      <c r="D613" t="s">
        <v>2080</v>
      </c>
    </row>
    <row r="614" spans="1:4">
      <c r="A614" t="s">
        <v>3711</v>
      </c>
      <c r="B614" t="s">
        <v>3712</v>
      </c>
      <c r="C614" t="s">
        <v>3713</v>
      </c>
      <c r="D614" t="s">
        <v>2080</v>
      </c>
    </row>
    <row r="615" spans="1:4">
      <c r="A615" t="s">
        <v>3714</v>
      </c>
      <c r="B615" t="s">
        <v>3715</v>
      </c>
      <c r="C615" t="s">
        <v>3716</v>
      </c>
      <c r="D615" t="s">
        <v>2080</v>
      </c>
    </row>
    <row r="616" spans="1:4">
      <c r="A616" t="s">
        <v>3717</v>
      </c>
      <c r="B616" t="s">
        <v>3718</v>
      </c>
      <c r="C616" t="s">
        <v>3719</v>
      </c>
      <c r="D616" t="s">
        <v>2080</v>
      </c>
    </row>
    <row r="617" spans="1:4">
      <c r="A617" t="s">
        <v>3720</v>
      </c>
      <c r="B617" t="s">
        <v>3721</v>
      </c>
      <c r="C617" t="s">
        <v>3722</v>
      </c>
      <c r="D617" t="s">
        <v>2301</v>
      </c>
    </row>
    <row r="618" spans="1:4">
      <c r="A618" t="s">
        <v>3723</v>
      </c>
      <c r="B618" t="s">
        <v>3724</v>
      </c>
      <c r="C618" t="s">
        <v>3725</v>
      </c>
      <c r="D618" t="s">
        <v>2080</v>
      </c>
    </row>
    <row r="619" spans="1:4">
      <c r="A619" t="s">
        <v>3726</v>
      </c>
      <c r="B619" t="s">
        <v>3727</v>
      </c>
      <c r="C619" t="s">
        <v>3728</v>
      </c>
      <c r="D619" t="s">
        <v>2080</v>
      </c>
    </row>
    <row r="620" spans="1:4">
      <c r="A620" t="s">
        <v>3729</v>
      </c>
      <c r="B620" t="s">
        <v>3730</v>
      </c>
      <c r="C620" t="s">
        <v>3731</v>
      </c>
      <c r="D620" t="s">
        <v>2080</v>
      </c>
    </row>
    <row r="621" spans="1:4">
      <c r="A621" t="s">
        <v>3732</v>
      </c>
      <c r="B621" t="s">
        <v>3733</v>
      </c>
      <c r="C621" t="s">
        <v>3734</v>
      </c>
      <c r="D621" t="s">
        <v>2080</v>
      </c>
    </row>
    <row r="622" spans="1:4">
      <c r="A622" t="s">
        <v>3735</v>
      </c>
      <c r="B622" t="s">
        <v>3736</v>
      </c>
      <c r="C622" t="s">
        <v>3737</v>
      </c>
      <c r="D622" t="s">
        <v>2080</v>
      </c>
    </row>
    <row r="623" spans="1:4">
      <c r="A623" t="s">
        <v>3738</v>
      </c>
      <c r="B623" t="s">
        <v>3739</v>
      </c>
      <c r="C623" t="s">
        <v>3740</v>
      </c>
      <c r="D623" t="s">
        <v>2080</v>
      </c>
    </row>
    <row r="624" spans="1:4">
      <c r="A624" t="s">
        <v>3741</v>
      </c>
      <c r="B624" t="s">
        <v>3742</v>
      </c>
      <c r="C624" t="s">
        <v>3743</v>
      </c>
      <c r="D624" t="s">
        <v>2080</v>
      </c>
    </row>
    <row r="625" spans="1:4">
      <c r="A625" t="s">
        <v>3744</v>
      </c>
      <c r="B625" t="s">
        <v>3745</v>
      </c>
      <c r="C625" t="s">
        <v>3746</v>
      </c>
      <c r="D625" t="s">
        <v>2080</v>
      </c>
    </row>
    <row r="626" spans="1:4">
      <c r="A626" t="s">
        <v>3747</v>
      </c>
      <c r="B626" t="s">
        <v>3748</v>
      </c>
      <c r="C626" t="s">
        <v>3749</v>
      </c>
      <c r="D626" t="s">
        <v>2080</v>
      </c>
    </row>
    <row r="627" spans="1:4">
      <c r="A627" t="s">
        <v>3750</v>
      </c>
      <c r="B627" t="s">
        <v>3751</v>
      </c>
      <c r="C627" t="s">
        <v>3752</v>
      </c>
      <c r="D627" t="s">
        <v>2080</v>
      </c>
    </row>
    <row r="628" spans="1:4">
      <c r="A628" t="s">
        <v>3753</v>
      </c>
      <c r="B628" t="s">
        <v>3754</v>
      </c>
      <c r="C628" t="s">
        <v>3755</v>
      </c>
      <c r="D628" t="s">
        <v>2301</v>
      </c>
    </row>
    <row r="629" spans="1:4">
      <c r="A629" t="s">
        <v>3756</v>
      </c>
      <c r="B629" t="s">
        <v>3757</v>
      </c>
      <c r="C629" t="s">
        <v>3758</v>
      </c>
      <c r="D629" t="s">
        <v>2080</v>
      </c>
    </row>
    <row r="630" spans="1:4">
      <c r="A630" t="s">
        <v>3759</v>
      </c>
      <c r="B630" t="s">
        <v>3760</v>
      </c>
      <c r="C630" t="s">
        <v>3761</v>
      </c>
      <c r="D630" t="s">
        <v>2301</v>
      </c>
    </row>
    <row r="631" spans="1:4">
      <c r="A631" t="s">
        <v>3762</v>
      </c>
      <c r="B631" t="s">
        <v>3763</v>
      </c>
      <c r="C631" t="s">
        <v>3764</v>
      </c>
      <c r="D631" t="s">
        <v>2301</v>
      </c>
    </row>
    <row r="632" spans="1:4">
      <c r="A632" t="s">
        <v>1538</v>
      </c>
      <c r="B632" t="s">
        <v>3765</v>
      </c>
      <c r="C632" t="s">
        <v>3766</v>
      </c>
      <c r="D632" t="s">
        <v>2301</v>
      </c>
    </row>
    <row r="633" spans="1:4">
      <c r="A633" t="s">
        <v>1764</v>
      </c>
      <c r="B633" t="s">
        <v>3767</v>
      </c>
      <c r="C633" t="s">
        <v>3768</v>
      </c>
      <c r="D633" t="s">
        <v>2301</v>
      </c>
    </row>
    <row r="634" spans="1:4">
      <c r="A634" t="s">
        <v>3769</v>
      </c>
      <c r="B634" t="s">
        <v>3770</v>
      </c>
      <c r="C634" t="s">
        <v>3771</v>
      </c>
      <c r="D634" t="s">
        <v>2080</v>
      </c>
    </row>
    <row r="635" spans="1:4">
      <c r="A635" t="s">
        <v>3772</v>
      </c>
      <c r="B635" t="s">
        <v>3773</v>
      </c>
      <c r="C635" t="s">
        <v>3774</v>
      </c>
      <c r="D635" t="s">
        <v>2080</v>
      </c>
    </row>
    <row r="636" spans="1:4">
      <c r="A636" t="s">
        <v>3775</v>
      </c>
      <c r="B636" t="s">
        <v>3776</v>
      </c>
      <c r="C636" t="s">
        <v>3777</v>
      </c>
      <c r="D636" t="s">
        <v>2080</v>
      </c>
    </row>
    <row r="637" spans="1:4">
      <c r="A637" t="s">
        <v>3778</v>
      </c>
      <c r="B637" t="s">
        <v>3779</v>
      </c>
      <c r="C637" t="s">
        <v>2270</v>
      </c>
      <c r="D637" t="s">
        <v>2301</v>
      </c>
    </row>
    <row r="638" spans="1:4">
      <c r="A638" t="s">
        <v>3780</v>
      </c>
      <c r="B638" t="s">
        <v>3781</v>
      </c>
      <c r="C638" t="s">
        <v>3782</v>
      </c>
      <c r="D638" t="s">
        <v>2080</v>
      </c>
    </row>
    <row r="639" spans="1:4">
      <c r="A639" t="s">
        <v>3783</v>
      </c>
      <c r="B639" t="s">
        <v>3784</v>
      </c>
      <c r="C639" t="s">
        <v>3785</v>
      </c>
      <c r="D639" t="s">
        <v>2080</v>
      </c>
    </row>
    <row r="640" spans="1:4">
      <c r="A640" t="s">
        <v>3786</v>
      </c>
      <c r="B640" t="s">
        <v>3787</v>
      </c>
      <c r="C640" t="s">
        <v>3788</v>
      </c>
      <c r="D640" t="s">
        <v>2301</v>
      </c>
    </row>
    <row r="641" spans="1:4">
      <c r="A641" t="s">
        <v>3789</v>
      </c>
      <c r="B641" t="s">
        <v>3790</v>
      </c>
      <c r="C641" t="s">
        <v>3791</v>
      </c>
      <c r="D641" t="s">
        <v>2080</v>
      </c>
    </row>
    <row r="642" spans="1:4">
      <c r="A642" t="s">
        <v>3792</v>
      </c>
      <c r="B642" t="s">
        <v>3793</v>
      </c>
      <c r="C642" t="s">
        <v>3794</v>
      </c>
      <c r="D642" t="s">
        <v>2080</v>
      </c>
    </row>
    <row r="643" spans="1:4">
      <c r="A643" t="s">
        <v>3795</v>
      </c>
      <c r="B643" t="s">
        <v>3796</v>
      </c>
      <c r="C643" t="s">
        <v>3797</v>
      </c>
      <c r="D643" t="s">
        <v>2301</v>
      </c>
    </row>
    <row r="644" spans="1:4">
      <c r="A644" t="s">
        <v>3798</v>
      </c>
      <c r="B644" t="s">
        <v>3799</v>
      </c>
      <c r="C644" t="s">
        <v>3800</v>
      </c>
      <c r="D644" t="s">
        <v>2080</v>
      </c>
    </row>
    <row r="645" spans="1:4">
      <c r="A645" t="s">
        <v>3801</v>
      </c>
      <c r="B645" t="s">
        <v>3802</v>
      </c>
      <c r="C645" t="s">
        <v>3803</v>
      </c>
      <c r="D645" t="s">
        <v>2080</v>
      </c>
    </row>
    <row r="646" spans="1:4">
      <c r="A646" t="s">
        <v>3804</v>
      </c>
      <c r="B646" t="s">
        <v>3805</v>
      </c>
      <c r="C646" t="s">
        <v>3806</v>
      </c>
      <c r="D646" t="s">
        <v>2080</v>
      </c>
    </row>
    <row r="647" spans="1:4">
      <c r="A647" t="s">
        <v>3807</v>
      </c>
      <c r="B647" t="s">
        <v>3808</v>
      </c>
      <c r="C647" t="s">
        <v>3809</v>
      </c>
      <c r="D647" t="s">
        <v>2080</v>
      </c>
    </row>
    <row r="648" spans="1:4">
      <c r="A648" t="s">
        <v>3810</v>
      </c>
      <c r="B648" t="s">
        <v>3811</v>
      </c>
      <c r="C648" t="s">
        <v>3812</v>
      </c>
      <c r="D648" t="s">
        <v>2080</v>
      </c>
    </row>
    <row r="649" spans="1:4">
      <c r="A649" t="s">
        <v>3813</v>
      </c>
      <c r="B649" t="s">
        <v>3814</v>
      </c>
      <c r="C649" t="s">
        <v>3815</v>
      </c>
      <c r="D649" t="s">
        <v>2080</v>
      </c>
    </row>
    <row r="650" spans="1:4">
      <c r="A650" t="s">
        <v>3816</v>
      </c>
      <c r="B650" t="s">
        <v>3817</v>
      </c>
      <c r="C650" t="s">
        <v>3818</v>
      </c>
      <c r="D650" t="s">
        <v>2080</v>
      </c>
    </row>
    <row r="651" spans="1:4">
      <c r="A651" t="s">
        <v>3819</v>
      </c>
      <c r="B651" t="s">
        <v>3820</v>
      </c>
      <c r="C651" t="s">
        <v>3821</v>
      </c>
      <c r="D651" t="s">
        <v>2080</v>
      </c>
    </row>
    <row r="652" spans="1:4">
      <c r="A652" t="s">
        <v>3822</v>
      </c>
      <c r="B652" t="s">
        <v>3823</v>
      </c>
      <c r="C652" t="s">
        <v>3824</v>
      </c>
      <c r="D652" t="s">
        <v>2080</v>
      </c>
    </row>
    <row r="653" spans="1:4">
      <c r="A653" t="s">
        <v>3825</v>
      </c>
      <c r="B653" t="s">
        <v>3826</v>
      </c>
      <c r="C653" t="s">
        <v>3827</v>
      </c>
      <c r="D653" t="s">
        <v>2080</v>
      </c>
    </row>
    <row r="654" spans="1:4">
      <c r="A654" t="s">
        <v>3828</v>
      </c>
      <c r="B654" t="s">
        <v>3829</v>
      </c>
      <c r="C654" t="s">
        <v>3830</v>
      </c>
      <c r="D654" t="s">
        <v>2080</v>
      </c>
    </row>
    <row r="655" spans="1:4">
      <c r="A655" t="s">
        <v>3831</v>
      </c>
      <c r="B655" t="s">
        <v>3832</v>
      </c>
      <c r="C655" t="s">
        <v>3833</v>
      </c>
      <c r="D655" t="s">
        <v>2080</v>
      </c>
    </row>
    <row r="656" spans="1:4">
      <c r="A656" t="s">
        <v>3834</v>
      </c>
      <c r="B656" t="s">
        <v>3835</v>
      </c>
      <c r="C656" t="s">
        <v>3836</v>
      </c>
      <c r="D656" t="s">
        <v>2080</v>
      </c>
    </row>
    <row r="657" spans="1:4">
      <c r="A657" t="s">
        <v>3837</v>
      </c>
      <c r="B657" t="s">
        <v>3838</v>
      </c>
      <c r="C657" t="s">
        <v>3839</v>
      </c>
      <c r="D657" t="s">
        <v>2080</v>
      </c>
    </row>
    <row r="658" spans="1:4">
      <c r="A658" t="s">
        <v>3840</v>
      </c>
      <c r="B658" t="s">
        <v>3841</v>
      </c>
      <c r="C658" t="s">
        <v>3842</v>
      </c>
      <c r="D658" t="s">
        <v>2080</v>
      </c>
    </row>
    <row r="659" spans="1:4">
      <c r="A659" t="s">
        <v>3843</v>
      </c>
      <c r="B659" t="s">
        <v>3844</v>
      </c>
      <c r="C659" t="s">
        <v>3845</v>
      </c>
      <c r="D659" t="s">
        <v>2080</v>
      </c>
    </row>
    <row r="660" spans="1:4">
      <c r="A660" t="s">
        <v>3846</v>
      </c>
      <c r="B660" t="s">
        <v>3847</v>
      </c>
      <c r="C660" t="s">
        <v>3848</v>
      </c>
      <c r="D660" t="s">
        <v>2080</v>
      </c>
    </row>
    <row r="661" spans="1:4">
      <c r="A661" t="s">
        <v>2251</v>
      </c>
      <c r="B661" t="s">
        <v>3849</v>
      </c>
      <c r="C661" t="s">
        <v>3850</v>
      </c>
      <c r="D661" t="s">
        <v>2080</v>
      </c>
    </row>
    <row r="662" spans="1:4">
      <c r="A662" t="s">
        <v>3851</v>
      </c>
      <c r="B662" t="s">
        <v>3852</v>
      </c>
      <c r="C662" t="s">
        <v>3853</v>
      </c>
      <c r="D662" t="s">
        <v>2080</v>
      </c>
    </row>
    <row r="663" spans="1:4">
      <c r="A663" t="s">
        <v>3854</v>
      </c>
      <c r="B663" t="s">
        <v>3855</v>
      </c>
      <c r="C663" t="s">
        <v>3856</v>
      </c>
      <c r="D663" t="s">
        <v>2080</v>
      </c>
    </row>
    <row r="664" spans="1:4">
      <c r="A664" t="s">
        <v>3857</v>
      </c>
      <c r="B664" t="s">
        <v>3858</v>
      </c>
      <c r="C664" t="s">
        <v>3859</v>
      </c>
      <c r="D664" t="s">
        <v>2080</v>
      </c>
    </row>
    <row r="665" spans="1:4">
      <c r="A665" t="s">
        <v>3860</v>
      </c>
      <c r="B665" t="s">
        <v>3861</v>
      </c>
      <c r="C665" t="s">
        <v>3862</v>
      </c>
      <c r="D665" t="s">
        <v>2301</v>
      </c>
    </row>
    <row r="666" spans="1:4">
      <c r="A666" t="s">
        <v>3863</v>
      </c>
      <c r="B666" t="s">
        <v>3864</v>
      </c>
      <c r="C666" t="s">
        <v>3865</v>
      </c>
      <c r="D666" t="s">
        <v>2080</v>
      </c>
    </row>
    <row r="667" spans="1:4">
      <c r="A667" t="s">
        <v>3866</v>
      </c>
      <c r="B667" t="s">
        <v>3867</v>
      </c>
      <c r="C667" t="s">
        <v>3868</v>
      </c>
      <c r="D667" t="s">
        <v>2080</v>
      </c>
    </row>
    <row r="668" spans="1:4">
      <c r="A668" t="s">
        <v>3869</v>
      </c>
      <c r="B668" t="s">
        <v>3870</v>
      </c>
      <c r="C668" t="s">
        <v>3871</v>
      </c>
      <c r="D668" t="s">
        <v>2080</v>
      </c>
    </row>
    <row r="669" spans="1:4">
      <c r="A669" t="s">
        <v>3872</v>
      </c>
      <c r="B669" t="s">
        <v>3873</v>
      </c>
      <c r="C669" t="s">
        <v>3874</v>
      </c>
      <c r="D669" t="s">
        <v>2080</v>
      </c>
    </row>
    <row r="670" spans="1:4">
      <c r="A670" t="s">
        <v>3875</v>
      </c>
      <c r="B670" t="s">
        <v>3876</v>
      </c>
      <c r="C670" t="s">
        <v>3877</v>
      </c>
      <c r="D670" t="s">
        <v>2080</v>
      </c>
    </row>
    <row r="671" spans="1:4">
      <c r="A671" t="s">
        <v>3878</v>
      </c>
      <c r="B671" t="s">
        <v>3879</v>
      </c>
      <c r="C671" t="s">
        <v>3880</v>
      </c>
      <c r="D671" t="s">
        <v>2080</v>
      </c>
    </row>
    <row r="672" spans="1:4">
      <c r="A672" t="s">
        <v>3881</v>
      </c>
      <c r="B672" t="s">
        <v>3882</v>
      </c>
      <c r="C672" t="s">
        <v>3883</v>
      </c>
      <c r="D672" t="s">
        <v>2080</v>
      </c>
    </row>
    <row r="673" spans="1:4">
      <c r="A673" t="s">
        <v>3884</v>
      </c>
      <c r="B673" t="s">
        <v>3885</v>
      </c>
      <c r="C673" t="s">
        <v>3886</v>
      </c>
      <c r="D673" t="s">
        <v>2080</v>
      </c>
    </row>
    <row r="674" spans="1:4">
      <c r="A674" t="s">
        <v>3887</v>
      </c>
      <c r="B674" t="s">
        <v>3888</v>
      </c>
      <c r="C674" t="s">
        <v>3889</v>
      </c>
      <c r="D674" t="s">
        <v>2080</v>
      </c>
    </row>
    <row r="675" spans="1:4">
      <c r="A675" t="s">
        <v>3890</v>
      </c>
      <c r="B675" t="s">
        <v>3891</v>
      </c>
      <c r="C675" t="s">
        <v>3892</v>
      </c>
      <c r="D675" t="s">
        <v>2301</v>
      </c>
    </row>
    <row r="676" spans="1:4">
      <c r="A676" t="s">
        <v>3893</v>
      </c>
      <c r="B676" t="s">
        <v>3894</v>
      </c>
      <c r="C676" t="s">
        <v>3895</v>
      </c>
      <c r="D676" t="s">
        <v>2080</v>
      </c>
    </row>
    <row r="677" spans="1:4">
      <c r="A677" t="s">
        <v>3896</v>
      </c>
      <c r="B677" t="s">
        <v>3897</v>
      </c>
      <c r="C677" t="s">
        <v>3898</v>
      </c>
      <c r="D677" t="s">
        <v>2080</v>
      </c>
    </row>
    <row r="678" spans="1:4">
      <c r="A678" t="s">
        <v>3899</v>
      </c>
      <c r="B678" t="s">
        <v>3900</v>
      </c>
      <c r="C678" t="s">
        <v>3901</v>
      </c>
      <c r="D678" t="s">
        <v>2080</v>
      </c>
    </row>
    <row r="679" spans="1:4">
      <c r="A679" t="s">
        <v>3902</v>
      </c>
      <c r="B679" t="s">
        <v>3903</v>
      </c>
      <c r="C679" t="s">
        <v>3904</v>
      </c>
      <c r="D679" t="s">
        <v>2301</v>
      </c>
    </row>
    <row r="680" spans="1:4">
      <c r="A680" t="s">
        <v>3905</v>
      </c>
      <c r="B680" t="s">
        <v>3906</v>
      </c>
      <c r="C680" t="s">
        <v>3907</v>
      </c>
      <c r="D680" t="s">
        <v>2080</v>
      </c>
    </row>
    <row r="681" spans="1:4">
      <c r="A681" t="s">
        <v>1792</v>
      </c>
      <c r="B681" t="s">
        <v>3908</v>
      </c>
      <c r="C681" t="s">
        <v>3909</v>
      </c>
      <c r="D681" t="s">
        <v>2301</v>
      </c>
    </row>
    <row r="682" spans="1:4">
      <c r="A682" t="s">
        <v>3910</v>
      </c>
      <c r="B682" t="s">
        <v>3911</v>
      </c>
      <c r="C682" t="s">
        <v>3912</v>
      </c>
      <c r="D682" t="s">
        <v>2080</v>
      </c>
    </row>
    <row r="683" spans="1:4">
      <c r="A683" t="s">
        <v>3913</v>
      </c>
      <c r="B683" t="s">
        <v>3914</v>
      </c>
      <c r="C683" t="s">
        <v>3915</v>
      </c>
      <c r="D683" t="s">
        <v>2301</v>
      </c>
    </row>
    <row r="684" spans="1:4">
      <c r="A684" t="s">
        <v>3916</v>
      </c>
      <c r="B684" t="s">
        <v>3917</v>
      </c>
      <c r="C684" t="s">
        <v>3918</v>
      </c>
      <c r="D684" t="s">
        <v>2080</v>
      </c>
    </row>
    <row r="685" spans="1:4">
      <c r="A685" t="s">
        <v>3919</v>
      </c>
      <c r="B685" t="s">
        <v>3920</v>
      </c>
      <c r="C685" t="s">
        <v>3921</v>
      </c>
      <c r="D685" t="s">
        <v>2080</v>
      </c>
    </row>
    <row r="686" spans="1:4">
      <c r="A686" t="s">
        <v>3922</v>
      </c>
      <c r="B686" t="s">
        <v>3923</v>
      </c>
      <c r="C686" t="s">
        <v>3924</v>
      </c>
      <c r="D686" t="s">
        <v>2080</v>
      </c>
    </row>
    <row r="687" spans="1:4">
      <c r="A687" t="s">
        <v>3925</v>
      </c>
      <c r="B687" t="s">
        <v>3926</v>
      </c>
      <c r="C687" t="s">
        <v>3927</v>
      </c>
      <c r="D687" t="s">
        <v>2301</v>
      </c>
    </row>
    <row r="688" spans="1:4">
      <c r="A688" t="s">
        <v>3928</v>
      </c>
      <c r="B688" t="s">
        <v>3929</v>
      </c>
      <c r="C688" t="s">
        <v>3930</v>
      </c>
      <c r="D688" t="s">
        <v>2301</v>
      </c>
    </row>
    <row r="689" spans="1:4">
      <c r="A689" t="s">
        <v>3931</v>
      </c>
      <c r="B689" t="s">
        <v>3932</v>
      </c>
      <c r="C689" t="s">
        <v>3933</v>
      </c>
      <c r="D689" t="s">
        <v>2301</v>
      </c>
    </row>
    <row r="690" spans="1:4">
      <c r="A690" t="s">
        <v>3934</v>
      </c>
      <c r="B690" t="s">
        <v>3935</v>
      </c>
      <c r="C690" t="s">
        <v>3936</v>
      </c>
      <c r="D690" t="s">
        <v>2080</v>
      </c>
    </row>
    <row r="691" spans="1:4">
      <c r="A691" t="s">
        <v>3937</v>
      </c>
      <c r="B691" t="s">
        <v>3938</v>
      </c>
      <c r="C691" t="s">
        <v>3939</v>
      </c>
      <c r="D691" t="s">
        <v>2301</v>
      </c>
    </row>
    <row r="692" spans="1:4">
      <c r="A692" t="s">
        <v>3940</v>
      </c>
      <c r="B692" t="s">
        <v>3941</v>
      </c>
      <c r="C692" t="s">
        <v>3942</v>
      </c>
      <c r="D692" t="s">
        <v>2080</v>
      </c>
    </row>
    <row r="693" spans="1:4">
      <c r="A693" t="s">
        <v>3943</v>
      </c>
      <c r="B693" t="s">
        <v>3944</v>
      </c>
      <c r="C693" t="s">
        <v>3945</v>
      </c>
      <c r="D693" t="s">
        <v>2080</v>
      </c>
    </row>
    <row r="694" spans="1:4">
      <c r="A694" t="s">
        <v>3946</v>
      </c>
      <c r="B694" t="s">
        <v>3947</v>
      </c>
      <c r="C694" t="s">
        <v>3948</v>
      </c>
      <c r="D694" t="s">
        <v>2080</v>
      </c>
    </row>
    <row r="695" spans="1:4">
      <c r="A695" t="s">
        <v>3949</v>
      </c>
      <c r="B695" t="s">
        <v>3950</v>
      </c>
      <c r="C695" t="s">
        <v>3951</v>
      </c>
      <c r="D695" t="s">
        <v>2080</v>
      </c>
    </row>
    <row r="696" spans="1:4">
      <c r="A696" t="s">
        <v>3952</v>
      </c>
      <c r="B696" t="s">
        <v>3953</v>
      </c>
      <c r="C696" t="s">
        <v>3954</v>
      </c>
      <c r="D696" t="s">
        <v>2080</v>
      </c>
    </row>
    <row r="697" spans="1:4">
      <c r="A697" t="s">
        <v>3955</v>
      </c>
      <c r="B697" t="s">
        <v>3956</v>
      </c>
      <c r="C697" t="s">
        <v>3957</v>
      </c>
      <c r="D697" t="s">
        <v>2301</v>
      </c>
    </row>
    <row r="698" spans="1:4">
      <c r="A698" t="s">
        <v>3958</v>
      </c>
      <c r="B698" t="s">
        <v>3959</v>
      </c>
      <c r="C698" t="s">
        <v>3960</v>
      </c>
      <c r="D698" t="s">
        <v>2301</v>
      </c>
    </row>
    <row r="699" spans="1:4">
      <c r="A699" t="s">
        <v>3961</v>
      </c>
      <c r="B699" t="s">
        <v>3962</v>
      </c>
      <c r="C699" t="s">
        <v>3963</v>
      </c>
      <c r="D699" t="s">
        <v>2301</v>
      </c>
    </row>
    <row r="700" spans="1:4">
      <c r="A700" t="s">
        <v>3964</v>
      </c>
      <c r="B700" t="s">
        <v>3965</v>
      </c>
      <c r="C700" t="s">
        <v>3966</v>
      </c>
      <c r="D700" t="s">
        <v>2080</v>
      </c>
    </row>
    <row r="701" spans="1:4">
      <c r="A701" t="s">
        <v>3967</v>
      </c>
      <c r="B701" t="s">
        <v>3968</v>
      </c>
      <c r="C701" t="s">
        <v>3969</v>
      </c>
      <c r="D701" t="s">
        <v>2080</v>
      </c>
    </row>
    <row r="702" spans="1:4">
      <c r="A702" t="s">
        <v>3970</v>
      </c>
      <c r="B702" t="s">
        <v>3971</v>
      </c>
      <c r="C702" t="s">
        <v>3972</v>
      </c>
      <c r="D702" t="s">
        <v>2080</v>
      </c>
    </row>
    <row r="703" spans="1:4">
      <c r="A703" t="s">
        <v>3973</v>
      </c>
      <c r="B703" t="s">
        <v>3974</v>
      </c>
      <c r="C703" t="s">
        <v>3975</v>
      </c>
      <c r="D703" t="s">
        <v>2080</v>
      </c>
    </row>
    <row r="704" spans="1:4">
      <c r="A704" t="s">
        <v>3976</v>
      </c>
      <c r="B704" t="s">
        <v>3977</v>
      </c>
      <c r="C704" t="s">
        <v>3978</v>
      </c>
      <c r="D704" t="s">
        <v>2080</v>
      </c>
    </row>
    <row r="705" spans="1:4">
      <c r="A705" t="s">
        <v>3979</v>
      </c>
      <c r="B705" t="s">
        <v>3980</v>
      </c>
      <c r="C705" t="s">
        <v>3981</v>
      </c>
      <c r="D705" t="s">
        <v>2080</v>
      </c>
    </row>
    <row r="706" spans="1:4">
      <c r="A706" t="s">
        <v>3982</v>
      </c>
      <c r="B706" t="s">
        <v>3983</v>
      </c>
      <c r="C706" t="s">
        <v>3984</v>
      </c>
      <c r="D706" t="s">
        <v>2080</v>
      </c>
    </row>
    <row r="707" spans="1:4">
      <c r="A707" t="s">
        <v>3985</v>
      </c>
      <c r="B707" t="s">
        <v>3986</v>
      </c>
      <c r="C707" t="s">
        <v>3987</v>
      </c>
      <c r="D707" t="s">
        <v>2080</v>
      </c>
    </row>
    <row r="708" spans="1:4">
      <c r="A708" t="s">
        <v>3988</v>
      </c>
      <c r="B708" t="s">
        <v>3989</v>
      </c>
      <c r="C708" t="s">
        <v>3990</v>
      </c>
      <c r="D708" t="s">
        <v>2080</v>
      </c>
    </row>
    <row r="709" spans="1:4">
      <c r="A709" t="s">
        <v>3991</v>
      </c>
      <c r="B709" t="s">
        <v>3992</v>
      </c>
      <c r="C709" t="s">
        <v>3993</v>
      </c>
      <c r="D709" t="s">
        <v>2301</v>
      </c>
    </row>
    <row r="710" spans="1:4">
      <c r="A710" t="s">
        <v>3994</v>
      </c>
      <c r="B710" t="s">
        <v>3995</v>
      </c>
      <c r="C710" t="s">
        <v>3996</v>
      </c>
      <c r="D710" t="s">
        <v>2080</v>
      </c>
    </row>
    <row r="711" spans="1:4">
      <c r="A711" t="s">
        <v>3997</v>
      </c>
      <c r="B711" t="s">
        <v>3998</v>
      </c>
      <c r="C711" t="s">
        <v>3999</v>
      </c>
      <c r="D711" t="s">
        <v>2080</v>
      </c>
    </row>
    <row r="712" spans="1:4">
      <c r="A712" t="s">
        <v>4000</v>
      </c>
      <c r="B712" t="s">
        <v>4001</v>
      </c>
      <c r="C712" t="s">
        <v>4002</v>
      </c>
      <c r="D712" t="s">
        <v>2301</v>
      </c>
    </row>
    <row r="713" spans="1:4">
      <c r="A713" t="s">
        <v>4003</v>
      </c>
      <c r="B713" t="s">
        <v>4004</v>
      </c>
      <c r="C713" t="s">
        <v>4005</v>
      </c>
      <c r="D713" t="s">
        <v>2080</v>
      </c>
    </row>
    <row r="714" spans="1:4">
      <c r="A714" t="s">
        <v>4006</v>
      </c>
      <c r="B714" t="s">
        <v>4007</v>
      </c>
      <c r="C714" t="s">
        <v>4008</v>
      </c>
      <c r="D714" t="s">
        <v>2080</v>
      </c>
    </row>
    <row r="715" spans="1:4">
      <c r="A715" t="s">
        <v>4009</v>
      </c>
      <c r="B715" t="s">
        <v>4010</v>
      </c>
      <c r="C715" t="s">
        <v>4011</v>
      </c>
      <c r="D715" t="s">
        <v>2080</v>
      </c>
    </row>
    <row r="716" spans="1:4">
      <c r="A716" t="s">
        <v>4012</v>
      </c>
      <c r="B716" t="s">
        <v>4013</v>
      </c>
      <c r="C716" t="s">
        <v>4014</v>
      </c>
      <c r="D716" t="s">
        <v>2080</v>
      </c>
    </row>
    <row r="717" spans="1:4">
      <c r="A717" t="s">
        <v>4015</v>
      </c>
      <c r="B717" t="s">
        <v>4016</v>
      </c>
      <c r="C717" t="s">
        <v>4017</v>
      </c>
      <c r="D717" t="s">
        <v>2080</v>
      </c>
    </row>
    <row r="718" spans="1:4">
      <c r="A718" t="s">
        <v>4018</v>
      </c>
      <c r="B718" t="s">
        <v>4019</v>
      </c>
      <c r="C718" t="s">
        <v>4020</v>
      </c>
      <c r="D718" t="s">
        <v>2080</v>
      </c>
    </row>
    <row r="719" spans="1:4">
      <c r="A719" t="s">
        <v>4021</v>
      </c>
      <c r="B719" t="s">
        <v>4022</v>
      </c>
      <c r="C719" t="s">
        <v>4023</v>
      </c>
      <c r="D719" t="s">
        <v>2080</v>
      </c>
    </row>
    <row r="720" spans="1:4">
      <c r="A720" t="s">
        <v>4024</v>
      </c>
      <c r="B720" t="s">
        <v>4025</v>
      </c>
      <c r="C720" t="s">
        <v>4026</v>
      </c>
      <c r="D720" t="s">
        <v>2080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A952-044E-4519-822C-756D3C414421}">
  <dimension ref="A1:D8"/>
  <sheetViews>
    <sheetView workbookViewId="0">
      <selection activeCell="B8" sqref="B8"/>
    </sheetView>
  </sheetViews>
  <sheetFormatPr defaultRowHeight="15"/>
  <cols>
    <col min="1" max="1" width="12.85546875" bestFit="1" customWidth="1"/>
    <col min="2" max="2" width="55.140625" bestFit="1" customWidth="1"/>
    <col min="3" max="3" width="18.140625" customWidth="1"/>
    <col min="4" max="4" width="20.85546875" customWidth="1"/>
  </cols>
  <sheetData>
    <row r="1" spans="1:4">
      <c r="A1" t="s">
        <v>1361</v>
      </c>
      <c r="B1" t="s">
        <v>1346</v>
      </c>
      <c r="C1" t="s">
        <v>4027</v>
      </c>
      <c r="D1" t="s">
        <v>4028</v>
      </c>
    </row>
    <row r="2" spans="1:4">
      <c r="A2" t="s">
        <v>1504</v>
      </c>
      <c r="B2" t="s">
        <v>4029</v>
      </c>
      <c r="D2">
        <v>19</v>
      </c>
    </row>
    <row r="3" spans="1:4">
      <c r="A3" t="s">
        <v>1400</v>
      </c>
      <c r="B3" t="s">
        <v>4030</v>
      </c>
      <c r="C3">
        <v>20</v>
      </c>
      <c r="D3">
        <v>29</v>
      </c>
    </row>
    <row r="4" spans="1:4">
      <c r="A4" t="s">
        <v>1376</v>
      </c>
      <c r="B4" t="s">
        <v>4031</v>
      </c>
      <c r="C4">
        <v>30</v>
      </c>
      <c r="D4">
        <v>39</v>
      </c>
    </row>
    <row r="5" spans="1:4">
      <c r="A5" t="s">
        <v>1397</v>
      </c>
      <c r="B5" t="s">
        <v>4032</v>
      </c>
      <c r="C5">
        <v>40</v>
      </c>
      <c r="D5">
        <v>49</v>
      </c>
    </row>
    <row r="6" spans="1:4">
      <c r="A6" t="s">
        <v>1384</v>
      </c>
      <c r="B6" t="s">
        <v>4033</v>
      </c>
      <c r="C6">
        <v>50</v>
      </c>
      <c r="D6">
        <v>59</v>
      </c>
    </row>
    <row r="7" spans="1:4">
      <c r="A7" t="s">
        <v>1390</v>
      </c>
      <c r="B7" t="s">
        <v>4034</v>
      </c>
      <c r="C7">
        <v>60</v>
      </c>
      <c r="D7">
        <v>69</v>
      </c>
    </row>
    <row r="8" spans="1:4">
      <c r="A8" t="s">
        <v>4035</v>
      </c>
      <c r="B8" t="s">
        <v>4036</v>
      </c>
      <c r="C8">
        <v>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9C72059F73F0048A9BA563FA8A702A9" ma:contentTypeVersion="20" ma:contentTypeDescription="Create a new document." ma:contentTypeScope="" ma:versionID="027ebbebe8e1c419c94641ee3c29d9de">
  <xsd:schema xmlns:xsd="http://www.w3.org/2001/XMLSchema" xmlns:xs="http://www.w3.org/2001/XMLSchema" xmlns:p="http://schemas.microsoft.com/office/2006/metadata/properties" xmlns:ns2="7b48ba23-bde3-49b2-a24a-007ea4c27f26" xmlns:ns3="16450df6-2c9d-4077-ae97-b18136f43b30" targetNamespace="http://schemas.microsoft.com/office/2006/metadata/properties" ma:root="true" ma:fieldsID="5fa14bf7aa1f153c71839c0cee975e95" ns2:_="" ns3:_="">
    <xsd:import namespace="7b48ba23-bde3-49b2-a24a-007ea4c27f26"/>
    <xsd:import namespace="16450df6-2c9d-4077-ae97-b18136f43b3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Status" minOccurs="0"/>
                <xsd:element ref="ns3:Verbindung_x0020_mit"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8ba23-bde3-49b2-a24a-007ea4c27f2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14272a3-333d-4548-9e34-e9ce124667d5}" ma:internalName="TaxCatchAll" ma:showField="CatchAllData" ma:web="7b48ba23-bde3-49b2-a24a-007ea4c27f2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450df6-2c9d-4077-ae97-b18136f43b3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Status" ma:index="14" nillable="true" ma:displayName="Status" ma:default="in preparation" ma:format="Dropdown" ma:internalName="Status">
      <xsd:simpleType>
        <xsd:restriction base="dms:Choice">
          <xsd:enumeration value="in preparation"/>
          <xsd:enumeration value="done"/>
          <xsd:enumeration value="to be reviewed"/>
          <xsd:enumeration value="temporary"/>
        </xsd:restriction>
      </xsd:simpleType>
    </xsd:element>
    <xsd:element name="Verbindung_x0020_mit" ma:index="15" nillable="true" ma:displayName="Verbindung mit" ma:list="{16450df6-2c9d-4077-ae97-b18136f43b30}" ma:internalName="Verbindung_x0020_mit" ma:showField="Title">
      <xsd:complexType>
        <xsd:complexContent>
          <xsd:extension base="dms:MultiChoiceLookup">
            <xsd:sequence>
              <xsd:element name="Value" type="dms:Lookup" maxOccurs="unbounded" minOccurs="0" nillable="true"/>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4a9df8e-f349-4444-a116-c467c435423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b48ba23-bde3-49b2-a24a-007ea4c27f26">
      <UserInfo>
        <DisplayName>ACDH, O365</DisplayName>
        <AccountId>93</AccountId>
        <AccountType/>
      </UserInfo>
      <UserInfo>
        <DisplayName>Kinzl, Gunda</DisplayName>
        <AccountId>36</AccountId>
        <AccountType/>
      </UserInfo>
      <UserInfo>
        <DisplayName>ACDH-CH_p_WIBARAB_BedoinTypeArabicNomadicSedentaryPeopleMiddleEastNorthAfrica Members</DisplayName>
        <AccountId>7</AccountId>
        <AccountType/>
      </UserInfo>
    </SharedWithUsers>
    <TaxCatchAll xmlns="7b48ba23-bde3-49b2-a24a-007ea4c27f26" xsi:nil="true"/>
    <lcf76f155ced4ddcb4097134ff3c332f xmlns="16450df6-2c9d-4077-ae97-b18136f43b30">
      <Terms xmlns="http://schemas.microsoft.com/office/infopath/2007/PartnerControls"/>
    </lcf76f155ced4ddcb4097134ff3c332f>
    <Status xmlns="16450df6-2c9d-4077-ae97-b18136f43b30">in preparation</Status>
    <Verbindung_x0020_mit xmlns="16450df6-2c9d-4077-ae97-b18136f43b30"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B1D171-5564-4B7C-A9B4-ED699F07D06E}"/>
</file>

<file path=customXml/itemProps2.xml><?xml version="1.0" encoding="utf-8"?>
<ds:datastoreItem xmlns:ds="http://schemas.openxmlformats.org/officeDocument/2006/customXml" ds:itemID="{EA999432-75CA-42E0-B0B1-EB273AD160FB}"/>
</file>

<file path=customXml/itemProps3.xml><?xml version="1.0" encoding="utf-8"?>
<ds:datastoreItem xmlns:ds="http://schemas.openxmlformats.org/officeDocument/2006/customXml" ds:itemID="{12DD12F9-5F43-466A-BDF6-B2DDD98EC432}"/>
</file>

<file path=customXml/itemProps4.xml><?xml version="1.0" encoding="utf-8"?>
<ds:datastoreItem xmlns:ds="http://schemas.openxmlformats.org/officeDocument/2006/customXml" ds:itemID="{E42F6F2D-7BCF-4527-BFD9-9596CE8DE0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Maria Rebecca Zarb</cp:lastModifiedBy>
  <cp:revision/>
  <dcterms:created xsi:type="dcterms:W3CDTF">2022-02-07T15:07:49Z</dcterms:created>
  <dcterms:modified xsi:type="dcterms:W3CDTF">2026-07-28T08:04:26Z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0x010100C9C72059F73F0048A9BA563FA8A702A9</vt:lpwstr>
  </property>
  <property fmtid="{D5CDD505-2E9C-101B-9397-08002B2CF9AE}" pid="3" name="Order">
    <vt:r8>3800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